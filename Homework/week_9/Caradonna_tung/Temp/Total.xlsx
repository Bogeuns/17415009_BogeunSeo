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9\Excel\"/>
    </mc:Choice>
  </mc:AlternateContent>
  <xr:revisionPtr revIDLastSave="0" documentId="13_ncr:1_{8372C2BF-D970-4EDB-BA06-B79D1404C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0.5" sheetId="2" r:id="rId2"/>
    <sheet name="0.68" sheetId="3" r:id="rId3"/>
    <sheet name="0.8" sheetId="4" r:id="rId4"/>
    <sheet name="0.89" sheetId="5" r:id="rId5"/>
    <sheet name="0.96" sheetId="6" r:id="rId6"/>
    <sheet name="Equation_Sheet" sheetId="7" r:id="rId7"/>
    <sheet name="NASA_Exp.data" sheetId="8" r:id="rId8"/>
  </sheets>
  <definedNames>
    <definedName name="_xlnm._FilterDatabase" localSheetId="2" hidden="1">'0.68'!$A$1:$D$82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" l="1"/>
  <c r="T2" i="2"/>
  <c r="T2" i="4"/>
  <c r="T2" i="5"/>
  <c r="I3" i="2"/>
  <c r="R2" i="6"/>
  <c r="S2" i="6" s="1"/>
  <c r="T2" i="6" s="1"/>
  <c r="E3" i="6"/>
  <c r="F2" i="6" s="1"/>
  <c r="E2" i="6"/>
  <c r="R2" i="3"/>
  <c r="S2" i="3" s="1"/>
  <c r="S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2" i="5"/>
  <c r="E3" i="5"/>
  <c r="F2" i="5" s="1"/>
  <c r="E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2" i="4"/>
  <c r="S2" i="4"/>
  <c r="E3" i="4"/>
  <c r="F2" i="4" s="1"/>
  <c r="E2" i="4"/>
  <c r="E3" i="3"/>
  <c r="F2" i="3" s="1"/>
  <c r="E2" i="3"/>
  <c r="H3" i="3" s="1"/>
  <c r="R2" i="2"/>
  <c r="S2" i="2" s="1"/>
  <c r="E2" i="7"/>
  <c r="D2" i="7"/>
  <c r="E3" i="2"/>
  <c r="F2" i="2" s="1"/>
  <c r="E2" i="2"/>
  <c r="H30" i="2" s="1"/>
  <c r="I2" i="6" l="1"/>
  <c r="I44" i="6"/>
  <c r="I8" i="6"/>
  <c r="I9" i="6"/>
  <c r="I51" i="6"/>
  <c r="I37" i="6"/>
  <c r="I63" i="6"/>
  <c r="I23" i="6"/>
  <c r="H14" i="6"/>
  <c r="I4" i="6"/>
  <c r="H2" i="6"/>
  <c r="H7" i="6"/>
  <c r="H21" i="6"/>
  <c r="H63" i="6"/>
  <c r="H37" i="6"/>
  <c r="H35" i="6"/>
  <c r="H77" i="6"/>
  <c r="H36" i="6"/>
  <c r="H49" i="6"/>
  <c r="H8" i="6"/>
  <c r="H22" i="6"/>
  <c r="H50" i="6"/>
  <c r="H78" i="6"/>
  <c r="H65" i="6"/>
  <c r="H24" i="6"/>
  <c r="H10" i="6"/>
  <c r="H11" i="6"/>
  <c r="H25" i="6"/>
  <c r="H39" i="6"/>
  <c r="H53" i="6"/>
  <c r="H67" i="6"/>
  <c r="H71" i="6"/>
  <c r="H51" i="6"/>
  <c r="H56" i="6"/>
  <c r="H29" i="6"/>
  <c r="H57" i="6"/>
  <c r="H16" i="6"/>
  <c r="H30" i="6"/>
  <c r="H58" i="6"/>
  <c r="H72" i="6"/>
  <c r="H23" i="6"/>
  <c r="H52" i="6"/>
  <c r="H43" i="6"/>
  <c r="H79" i="6"/>
  <c r="H28" i="6"/>
  <c r="H42" i="6"/>
  <c r="H70" i="6"/>
  <c r="H38" i="6"/>
  <c r="H15" i="6"/>
  <c r="H44" i="6"/>
  <c r="H45" i="6"/>
  <c r="H59" i="6"/>
  <c r="H73" i="6"/>
  <c r="H4" i="6"/>
  <c r="H18" i="6"/>
  <c r="H32" i="6"/>
  <c r="H46" i="6"/>
  <c r="H60" i="6"/>
  <c r="H74" i="6"/>
  <c r="H64" i="6"/>
  <c r="H9" i="6"/>
  <c r="H66" i="6"/>
  <c r="I65" i="6"/>
  <c r="I36" i="6"/>
  <c r="I74" i="6"/>
  <c r="I60" i="6"/>
  <c r="I46" i="6"/>
  <c r="I32" i="6"/>
  <c r="I18" i="6"/>
  <c r="I73" i="6"/>
  <c r="I59" i="6"/>
  <c r="I45" i="6"/>
  <c r="I31" i="6"/>
  <c r="I17" i="6"/>
  <c r="H31" i="6"/>
  <c r="H17" i="6"/>
  <c r="I16" i="6"/>
  <c r="I42" i="6"/>
  <c r="I58" i="6"/>
  <c r="I56" i="6"/>
  <c r="H3" i="6"/>
  <c r="H69" i="6"/>
  <c r="H55" i="6"/>
  <c r="H27" i="6"/>
  <c r="H13" i="6"/>
  <c r="I79" i="6"/>
  <c r="I64" i="6"/>
  <c r="I30" i="6"/>
  <c r="I71" i="6"/>
  <c r="I57" i="6"/>
  <c r="I43" i="6"/>
  <c r="I29" i="6"/>
  <c r="I15" i="6"/>
  <c r="I70" i="6"/>
  <c r="I14" i="6"/>
  <c r="I55" i="6"/>
  <c r="I27" i="6"/>
  <c r="I68" i="6"/>
  <c r="I54" i="6"/>
  <c r="I40" i="6"/>
  <c r="I26" i="6"/>
  <c r="I12" i="6"/>
  <c r="I72" i="6"/>
  <c r="I28" i="6"/>
  <c r="I69" i="6"/>
  <c r="I13" i="6"/>
  <c r="H68" i="6"/>
  <c r="H54" i="6"/>
  <c r="H40" i="6"/>
  <c r="H26" i="6"/>
  <c r="H12" i="6"/>
  <c r="I67" i="6"/>
  <c r="I39" i="6"/>
  <c r="I11" i="6"/>
  <c r="I53" i="6"/>
  <c r="I25" i="6"/>
  <c r="I3" i="6"/>
  <c r="I66" i="6"/>
  <c r="I52" i="6"/>
  <c r="I38" i="6"/>
  <c r="I24" i="6"/>
  <c r="I10" i="6"/>
  <c r="I7" i="6"/>
  <c r="I50" i="6"/>
  <c r="I77" i="6"/>
  <c r="I21" i="6"/>
  <c r="I76" i="6"/>
  <c r="I20" i="6"/>
  <c r="H76" i="6"/>
  <c r="H62" i="6"/>
  <c r="H48" i="6"/>
  <c r="H34" i="6"/>
  <c r="H20" i="6"/>
  <c r="H6" i="6"/>
  <c r="I78" i="6"/>
  <c r="I49" i="6"/>
  <c r="I48" i="6"/>
  <c r="I6" i="6"/>
  <c r="I75" i="6"/>
  <c r="I61" i="6"/>
  <c r="I47" i="6"/>
  <c r="I33" i="6"/>
  <c r="I19" i="6"/>
  <c r="I5" i="6"/>
  <c r="I22" i="6"/>
  <c r="I35" i="6"/>
  <c r="I62" i="6"/>
  <c r="I34" i="6"/>
  <c r="H75" i="6"/>
  <c r="H61" i="6"/>
  <c r="H47" i="6"/>
  <c r="H33" i="6"/>
  <c r="H19" i="6"/>
  <c r="H5" i="6"/>
  <c r="I2" i="5"/>
  <c r="I29" i="5"/>
  <c r="I30" i="5"/>
  <c r="I3" i="5"/>
  <c r="I4" i="5"/>
  <c r="I32" i="5"/>
  <c r="I61" i="5"/>
  <c r="I5" i="5"/>
  <c r="I33" i="5"/>
  <c r="I62" i="5"/>
  <c r="I8" i="5"/>
  <c r="I7" i="5"/>
  <c r="I9" i="5"/>
  <c r="I37" i="5"/>
  <c r="I66" i="5"/>
  <c r="I10" i="5"/>
  <c r="I38" i="5"/>
  <c r="I67" i="5"/>
  <c r="I40" i="5"/>
  <c r="I69" i="5"/>
  <c r="I47" i="5"/>
  <c r="I20" i="5"/>
  <c r="I51" i="5"/>
  <c r="I25" i="5"/>
  <c r="I56" i="5"/>
  <c r="I59" i="5"/>
  <c r="I6" i="5"/>
  <c r="I11" i="5"/>
  <c r="I39" i="5"/>
  <c r="I68" i="5"/>
  <c r="I12" i="5"/>
  <c r="I79" i="5"/>
  <c r="I64" i="5"/>
  <c r="I13" i="5"/>
  <c r="I42" i="5"/>
  <c r="I70" i="5"/>
  <c r="I14" i="5"/>
  <c r="I43" i="5"/>
  <c r="I71" i="5"/>
  <c r="I44" i="5"/>
  <c r="I72" i="5"/>
  <c r="I75" i="5"/>
  <c r="I76" i="5"/>
  <c r="I49" i="5"/>
  <c r="I80" i="5"/>
  <c r="I54" i="5"/>
  <c r="I60" i="5"/>
  <c r="I34" i="5"/>
  <c r="I15" i="5"/>
  <c r="I16" i="5"/>
  <c r="I45" i="5"/>
  <c r="I73" i="5"/>
  <c r="I46" i="5"/>
  <c r="I74" i="5"/>
  <c r="I48" i="5"/>
  <c r="I77" i="5"/>
  <c r="I52" i="5"/>
  <c r="I58" i="5"/>
  <c r="I35" i="5"/>
  <c r="I17" i="5"/>
  <c r="I31" i="5"/>
  <c r="I65" i="5"/>
  <c r="I18" i="5"/>
  <c r="I19" i="5"/>
  <c r="I63" i="5"/>
  <c r="I21" i="5"/>
  <c r="I50" i="5"/>
  <c r="I78" i="5"/>
  <c r="I22" i="5"/>
  <c r="I53" i="5"/>
  <c r="I57" i="5"/>
  <c r="I23" i="5"/>
  <c r="I24" i="5"/>
  <c r="I26" i="5"/>
  <c r="I55" i="5"/>
  <c r="I36" i="5"/>
  <c r="I27" i="5"/>
  <c r="I28" i="5"/>
  <c r="I30" i="3"/>
  <c r="I63" i="3"/>
  <c r="I62" i="3"/>
  <c r="I9" i="3"/>
  <c r="I43" i="3"/>
  <c r="I36" i="3"/>
  <c r="I10" i="3"/>
  <c r="I61" i="3"/>
  <c r="I55" i="3"/>
  <c r="I8" i="3"/>
  <c r="I54" i="3"/>
  <c r="I49" i="3"/>
  <c r="I48" i="3"/>
  <c r="I2" i="3"/>
  <c r="I47" i="3"/>
  <c r="I40" i="3"/>
  <c r="I46" i="3"/>
  <c r="I39" i="3"/>
  <c r="I45" i="3"/>
  <c r="I38" i="3"/>
  <c r="I44" i="3"/>
  <c r="I37" i="3"/>
  <c r="I42" i="3"/>
  <c r="I80" i="3"/>
  <c r="I28" i="3"/>
  <c r="I77" i="3"/>
  <c r="I76" i="3"/>
  <c r="I26" i="3"/>
  <c r="I35" i="3"/>
  <c r="I27" i="3"/>
  <c r="I75" i="3"/>
  <c r="I25" i="3"/>
  <c r="I34" i="3"/>
  <c r="I74" i="3"/>
  <c r="I24" i="3"/>
  <c r="I73" i="3"/>
  <c r="I21" i="3"/>
  <c r="I72" i="3"/>
  <c r="I20" i="3"/>
  <c r="I71" i="3"/>
  <c r="I14" i="3"/>
  <c r="I70" i="3"/>
  <c r="I13" i="3"/>
  <c r="I69" i="3"/>
  <c r="I12" i="3"/>
  <c r="I68" i="3"/>
  <c r="I11" i="3"/>
  <c r="I60" i="3"/>
  <c r="I7" i="3"/>
  <c r="I59" i="3"/>
  <c r="I6" i="3"/>
  <c r="I56" i="3"/>
  <c r="I5" i="3"/>
  <c r="I32" i="3"/>
  <c r="I31" i="3"/>
  <c r="I64" i="3"/>
  <c r="I29" i="3"/>
  <c r="I58" i="3"/>
  <c r="I23" i="3"/>
  <c r="I57" i="3"/>
  <c r="I22" i="3"/>
  <c r="I18" i="3"/>
  <c r="I52" i="3"/>
  <c r="I17" i="3"/>
  <c r="I79" i="3"/>
  <c r="I51" i="3"/>
  <c r="I16" i="3"/>
  <c r="I19" i="3"/>
  <c r="I53" i="3"/>
  <c r="I78" i="3"/>
  <c r="I50" i="3"/>
  <c r="I15" i="3"/>
  <c r="I33" i="3"/>
  <c r="I67" i="3"/>
  <c r="I4" i="3"/>
  <c r="I66" i="3"/>
  <c r="I3" i="3"/>
  <c r="I65" i="3"/>
  <c r="I16" i="4"/>
  <c r="I30" i="4"/>
  <c r="I45" i="4"/>
  <c r="I59" i="4"/>
  <c r="I73" i="4"/>
  <c r="I3" i="4"/>
  <c r="I17" i="4"/>
  <c r="I31" i="4"/>
  <c r="I46" i="4"/>
  <c r="I60" i="4"/>
  <c r="I74" i="4"/>
  <c r="I4" i="4"/>
  <c r="I18" i="4"/>
  <c r="I32" i="4"/>
  <c r="I47" i="4"/>
  <c r="I61" i="4"/>
  <c r="I75" i="4"/>
  <c r="I6" i="4"/>
  <c r="I20" i="4"/>
  <c r="I34" i="4"/>
  <c r="I49" i="4"/>
  <c r="I63" i="4"/>
  <c r="I7" i="4"/>
  <c r="I21" i="4"/>
  <c r="I35" i="4"/>
  <c r="I50" i="4"/>
  <c r="I64" i="4"/>
  <c r="I78" i="4"/>
  <c r="I5" i="4"/>
  <c r="I19" i="4"/>
  <c r="I33" i="4"/>
  <c r="I48" i="4"/>
  <c r="I62" i="4"/>
  <c r="I76" i="4"/>
  <c r="I77" i="4"/>
  <c r="I8" i="4"/>
  <c r="I22" i="4"/>
  <c r="I36" i="4"/>
  <c r="I51" i="4"/>
  <c r="I65" i="4"/>
  <c r="I79" i="4"/>
  <c r="I9" i="4"/>
  <c r="I23" i="4"/>
  <c r="I37" i="4"/>
  <c r="I52" i="4"/>
  <c r="I66" i="4"/>
  <c r="I80" i="4"/>
  <c r="I2" i="4"/>
  <c r="I24" i="4"/>
  <c r="I38" i="4"/>
  <c r="I53" i="4"/>
  <c r="I67" i="4"/>
  <c r="I11" i="4"/>
  <c r="I25" i="4"/>
  <c r="I39" i="4"/>
  <c r="I54" i="4"/>
  <c r="I68" i="4"/>
  <c r="I12" i="4"/>
  <c r="I26" i="4"/>
  <c r="I40" i="4"/>
  <c r="I55" i="4"/>
  <c r="I69" i="4"/>
  <c r="I42" i="4"/>
  <c r="I56" i="4"/>
  <c r="I70" i="4"/>
  <c r="I71" i="4"/>
  <c r="I29" i="4"/>
  <c r="I72" i="4"/>
  <c r="I10" i="4"/>
  <c r="I27" i="4"/>
  <c r="I44" i="4"/>
  <c r="I13" i="4"/>
  <c r="I14" i="4"/>
  <c r="I28" i="4"/>
  <c r="I43" i="4"/>
  <c r="I57" i="4"/>
  <c r="I15" i="4"/>
  <c r="I58" i="4"/>
  <c r="I7" i="2"/>
  <c r="I35" i="2"/>
  <c r="I64" i="2"/>
  <c r="I39" i="2"/>
  <c r="I70" i="2"/>
  <c r="I20" i="2"/>
  <c r="I50" i="2"/>
  <c r="I22" i="2"/>
  <c r="I23" i="2"/>
  <c r="I26" i="2"/>
  <c r="I57" i="2"/>
  <c r="I29" i="2"/>
  <c r="I33" i="2"/>
  <c r="I34" i="2"/>
  <c r="I8" i="2"/>
  <c r="I36" i="2"/>
  <c r="I65" i="2"/>
  <c r="I68" i="2"/>
  <c r="I40" i="2"/>
  <c r="I28" i="2"/>
  <c r="I31" i="2"/>
  <c r="I63" i="2"/>
  <c r="I9" i="2"/>
  <c r="I37" i="2"/>
  <c r="I66" i="2"/>
  <c r="I11" i="2"/>
  <c r="I48" i="2"/>
  <c r="I49" i="2"/>
  <c r="I21" i="2"/>
  <c r="I52" i="2"/>
  <c r="I53" i="2"/>
  <c r="I25" i="2"/>
  <c r="I27" i="2"/>
  <c r="I58" i="2"/>
  <c r="I59" i="2"/>
  <c r="I32" i="2"/>
  <c r="I10" i="2"/>
  <c r="I38" i="2"/>
  <c r="I67" i="2"/>
  <c r="I69" i="2"/>
  <c r="I76" i="2"/>
  <c r="I78" i="2"/>
  <c r="I79" i="2"/>
  <c r="I12" i="2"/>
  <c r="I30" i="2"/>
  <c r="I13" i="2"/>
  <c r="I42" i="2"/>
  <c r="I24" i="2"/>
  <c r="I14" i="2"/>
  <c r="I43" i="2"/>
  <c r="I71" i="2"/>
  <c r="I46" i="2"/>
  <c r="I75" i="2"/>
  <c r="I51" i="2"/>
  <c r="I80" i="2"/>
  <c r="I2" i="2"/>
  <c r="I60" i="2"/>
  <c r="I61" i="2"/>
  <c r="I5" i="2"/>
  <c r="I15" i="2"/>
  <c r="I44" i="2"/>
  <c r="I72" i="2"/>
  <c r="I45" i="2"/>
  <c r="I73" i="2"/>
  <c r="I74" i="2"/>
  <c r="I47" i="2"/>
  <c r="I19" i="2"/>
  <c r="I54" i="2"/>
  <c r="I62" i="2"/>
  <c r="I6" i="2"/>
  <c r="I16" i="2"/>
  <c r="I55" i="2"/>
  <c r="I17" i="2"/>
  <c r="I77" i="2"/>
  <c r="I18" i="2"/>
  <c r="I56" i="2"/>
  <c r="I4" i="2"/>
  <c r="H16" i="3"/>
  <c r="H15" i="3"/>
  <c r="H59" i="3"/>
  <c r="H72" i="3"/>
  <c r="H57" i="3"/>
  <c r="H43" i="3"/>
  <c r="H28" i="3"/>
  <c r="H14" i="3"/>
  <c r="H42" i="3"/>
  <c r="H13" i="3"/>
  <c r="H27" i="3"/>
  <c r="H29" i="3"/>
  <c r="H69" i="3"/>
  <c r="H55" i="3"/>
  <c r="H40" i="3"/>
  <c r="H26" i="3"/>
  <c r="H12" i="3"/>
  <c r="H11" i="3"/>
  <c r="H45" i="3"/>
  <c r="H58" i="3"/>
  <c r="H56" i="3"/>
  <c r="H68" i="3"/>
  <c r="H54" i="3"/>
  <c r="H39" i="3"/>
  <c r="H25" i="3"/>
  <c r="H2" i="3"/>
  <c r="H67" i="3"/>
  <c r="H53" i="3"/>
  <c r="H38" i="3"/>
  <c r="H24" i="3"/>
  <c r="H10" i="3"/>
  <c r="H70" i="3"/>
  <c r="H52" i="3"/>
  <c r="H30" i="3"/>
  <c r="H44" i="3"/>
  <c r="H66" i="3"/>
  <c r="H37" i="3"/>
  <c r="H23" i="3"/>
  <c r="H9" i="3"/>
  <c r="H79" i="3"/>
  <c r="H65" i="3"/>
  <c r="H51" i="3"/>
  <c r="H36" i="3"/>
  <c r="H22" i="3"/>
  <c r="H8" i="3"/>
  <c r="H78" i="3"/>
  <c r="H64" i="3"/>
  <c r="H50" i="3"/>
  <c r="H35" i="3"/>
  <c r="H21" i="3"/>
  <c r="H7" i="3"/>
  <c r="H77" i="3"/>
  <c r="H63" i="3"/>
  <c r="H49" i="3"/>
  <c r="H34" i="3"/>
  <c r="H20" i="3"/>
  <c r="H6" i="3"/>
  <c r="H76" i="3"/>
  <c r="H62" i="3"/>
  <c r="H48" i="3"/>
  <c r="H33" i="3"/>
  <c r="H19" i="3"/>
  <c r="H5" i="3"/>
  <c r="H71" i="3"/>
  <c r="H80" i="3"/>
  <c r="H73" i="3"/>
  <c r="H4" i="3"/>
  <c r="H75" i="3"/>
  <c r="H61" i="3"/>
  <c r="H47" i="3"/>
  <c r="H32" i="3"/>
  <c r="H18" i="3"/>
  <c r="H74" i="3"/>
  <c r="H60" i="3"/>
  <c r="H46" i="3"/>
  <c r="H31" i="3"/>
  <c r="H17" i="3"/>
  <c r="H68" i="2"/>
  <c r="H11" i="2"/>
  <c r="H43" i="2"/>
  <c r="H38" i="2"/>
  <c r="H42" i="2"/>
  <c r="H14" i="2"/>
  <c r="H28" i="2"/>
  <c r="H58" i="2"/>
  <c r="H29" i="2"/>
  <c r="H26" i="2"/>
  <c r="H70" i="2"/>
  <c r="H22" i="2"/>
  <c r="H27" i="2"/>
  <c r="H55" i="2"/>
  <c r="H25" i="2"/>
  <c r="H2" i="2"/>
  <c r="H24" i="2"/>
  <c r="H80" i="2"/>
  <c r="H52" i="2"/>
  <c r="H23" i="2"/>
  <c r="H51" i="2"/>
  <c r="H78" i="2"/>
  <c r="H21" i="2"/>
  <c r="H77" i="2"/>
  <c r="H49" i="2"/>
  <c r="H20" i="2"/>
  <c r="H48" i="2"/>
  <c r="H19" i="2"/>
  <c r="H75" i="2"/>
  <c r="H47" i="2"/>
  <c r="H18" i="2"/>
  <c r="H74" i="2"/>
  <c r="H46" i="2"/>
  <c r="H17" i="2"/>
  <c r="H73" i="2"/>
  <c r="H45" i="2"/>
  <c r="H16" i="2"/>
  <c r="H57" i="2"/>
  <c r="H56" i="2"/>
  <c r="H54" i="2"/>
  <c r="H53" i="2"/>
  <c r="H79" i="2"/>
  <c r="H50" i="2"/>
  <c r="H76" i="2"/>
  <c r="H72" i="2"/>
  <c r="H44" i="2"/>
  <c r="H15" i="2"/>
  <c r="H12" i="2"/>
  <c r="H71" i="2"/>
  <c r="H13" i="2"/>
  <c r="H69" i="2"/>
  <c r="H40" i="2"/>
  <c r="H39" i="2"/>
  <c r="H67" i="2"/>
  <c r="H10" i="2"/>
  <c r="H66" i="2"/>
  <c r="H37" i="2"/>
  <c r="H9" i="2"/>
  <c r="H65" i="2"/>
  <c r="H36" i="2"/>
  <c r="H8" i="2"/>
  <c r="H64" i="2"/>
  <c r="H35" i="2"/>
  <c r="H7" i="2"/>
  <c r="H63" i="2"/>
  <c r="H34" i="2"/>
  <c r="H6" i="2"/>
  <c r="H62" i="2"/>
  <c r="H33" i="2"/>
  <c r="H5" i="2"/>
  <c r="H61" i="2"/>
  <c r="H32" i="2"/>
  <c r="H4" i="2"/>
  <c r="H60" i="2"/>
  <c r="H31" i="2"/>
  <c r="H3" i="2"/>
  <c r="H59" i="2"/>
</calcChain>
</file>

<file path=xl/sharedStrings.xml><?xml version="1.0" encoding="utf-8"?>
<sst xmlns="http://schemas.openxmlformats.org/spreadsheetml/2006/main" count="42" uniqueCount="19">
  <si>
    <t>Points_1</t>
  </si>
  <si>
    <t>Pressure</t>
  </si>
  <si>
    <t>Caradonna_Radius</t>
    <phoneticPr fontId="1" type="noConversion"/>
  </si>
  <si>
    <t>Pressure [free_steam)</t>
    <phoneticPr fontId="1" type="noConversion"/>
  </si>
  <si>
    <t>Temp [free_stream]</t>
    <phoneticPr fontId="1" type="noConversion"/>
  </si>
  <si>
    <t>omega</t>
    <phoneticPr fontId="1" type="noConversion"/>
  </si>
  <si>
    <t>rho</t>
    <phoneticPr fontId="1" type="noConversion"/>
  </si>
  <si>
    <t>q</t>
    <phoneticPr fontId="1" type="noConversion"/>
  </si>
  <si>
    <t>r</t>
    <phoneticPr fontId="1" type="noConversion"/>
  </si>
  <si>
    <t>v</t>
    <phoneticPr fontId="1" type="noConversion"/>
  </si>
  <si>
    <t>x/c</t>
  </si>
  <si>
    <t>r/R=0.5</t>
    <phoneticPr fontId="2" type="noConversion"/>
  </si>
  <si>
    <t>r/R=0.68</t>
    <phoneticPr fontId="2" type="noConversion"/>
  </si>
  <si>
    <t>r/R=0.8</t>
    <phoneticPr fontId="2" type="noConversion"/>
  </si>
  <si>
    <t>r/R=0.89</t>
    <phoneticPr fontId="2" type="noConversion"/>
  </si>
  <si>
    <t>x/c</t>
    <phoneticPr fontId="2" type="noConversion"/>
  </si>
  <si>
    <t>r/R=0.96</t>
    <phoneticPr fontId="2" type="noConversion"/>
  </si>
  <si>
    <t>Lower</t>
    <phoneticPr fontId="1" type="noConversion"/>
  </si>
  <si>
    <t>Upper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</si>
</sst>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(50%)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80324940083466E-2"/>
          <c:y val="0.21833119697247147"/>
          <c:w val="0.88727121308100898"/>
          <c:h val="0.732942335696410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'0.5'!$H$2:$H$80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'0.5'!$I$2:$I$80</c:f>
              <c:numCache>
                <c:formatCode>General</c:formatCode>
                <c:ptCount val="79"/>
                <c:pt idx="0">
                  <c:v>-1.0339246627467251</c:v>
                </c:pt>
                <c:pt idx="1">
                  <c:v>-0.64168265313944461</c:v>
                </c:pt>
                <c:pt idx="2">
                  <c:v>-8.3357502661274618E-2</c:v>
                </c:pt>
                <c:pt idx="3">
                  <c:v>-0.43938881869266622</c:v>
                </c:pt>
                <c:pt idx="4">
                  <c:v>-0.13832970995567787</c:v>
                </c:pt>
                <c:pt idx="5">
                  <c:v>-8.7197294329053446E-2</c:v>
                </c:pt>
                <c:pt idx="6">
                  <c:v>-0.1270533597414413</c:v>
                </c:pt>
                <c:pt idx="7">
                  <c:v>-2.590644251805211E-2</c:v>
                </c:pt>
                <c:pt idx="8">
                  <c:v>-5.8811998962182088E-2</c:v>
                </c:pt>
                <c:pt idx="9">
                  <c:v>-2.9065764776351147E-2</c:v>
                </c:pt>
                <c:pt idx="10">
                  <c:v>1.1713794834616433E-2</c:v>
                </c:pt>
                <c:pt idx="11">
                  <c:v>1.2880313822296078E-2</c:v>
                </c:pt>
                <c:pt idx="12">
                  <c:v>4.8507747904345228E-2</c:v>
                </c:pt>
                <c:pt idx="13">
                  <c:v>6.9558555136181102E-2</c:v>
                </c:pt>
                <c:pt idx="14">
                  <c:v>9.2184163001384212E-2</c:v>
                </c:pt>
                <c:pt idx="15">
                  <c:v>0.11781841775564413</c:v>
                </c:pt>
                <c:pt idx="16">
                  <c:v>0.13699793411141056</c:v>
                </c:pt>
                <c:pt idx="17">
                  <c:v>0.15998807916026356</c:v>
                </c:pt>
                <c:pt idx="18">
                  <c:v>0.18256994256342826</c:v>
                </c:pt>
                <c:pt idx="19">
                  <c:v>0.20016493729426291</c:v>
                </c:pt>
                <c:pt idx="20">
                  <c:v>0.21400762928139483</c:v>
                </c:pt>
                <c:pt idx="21">
                  <c:v>0.23734773002655157</c:v>
                </c:pt>
                <c:pt idx="22">
                  <c:v>0.23273511952943526</c:v>
                </c:pt>
                <c:pt idx="23">
                  <c:v>0.23972937295973085</c:v>
                </c:pt>
                <c:pt idx="24">
                  <c:v>0.2282926263846882</c:v>
                </c:pt>
                <c:pt idx="25">
                  <c:v>0.23108741145933734</c:v>
                </c:pt>
                <c:pt idx="26">
                  <c:v>0.21613652643391032</c:v>
                </c:pt>
                <c:pt idx="27">
                  <c:v>0.17044786608312423</c:v>
                </c:pt>
                <c:pt idx="28">
                  <c:v>0.16392022024790007</c:v>
                </c:pt>
                <c:pt idx="29">
                  <c:v>4.9722871849844856E-2</c:v>
                </c:pt>
                <c:pt idx="30">
                  <c:v>4.5494240519506145E-2</c:v>
                </c:pt>
                <c:pt idx="31">
                  <c:v>-0.10809742619164708</c:v>
                </c:pt>
                <c:pt idx="32">
                  <c:v>-0.26470260028763937</c:v>
                </c:pt>
                <c:pt idx="33">
                  <c:v>-0.35583689620011166</c:v>
                </c:pt>
                <c:pt idx="34">
                  <c:v>-0.5717887237943059</c:v>
                </c:pt>
                <c:pt idx="35">
                  <c:v>-0.32502135294224099</c:v>
                </c:pt>
                <c:pt idx="36">
                  <c:v>-0.30679449375974654</c:v>
                </c:pt>
                <c:pt idx="37">
                  <c:v>-0.51404603390416348</c:v>
                </c:pt>
                <c:pt idx="38">
                  <c:v>-0.37071001329302711</c:v>
                </c:pt>
                <c:pt idx="40">
                  <c:v>7.4185747120643547E-2</c:v>
                </c:pt>
                <c:pt idx="41">
                  <c:v>-0.93136820174655632</c:v>
                </c:pt>
                <c:pt idx="42">
                  <c:v>-0.65218132402856144</c:v>
                </c:pt>
                <c:pt idx="43">
                  <c:v>-3.9272805918548037E-2</c:v>
                </c:pt>
                <c:pt idx="44">
                  <c:v>-0.41703053809547302</c:v>
                </c:pt>
                <c:pt idx="45">
                  <c:v>-9.4099198339491347E-2</c:v>
                </c:pt>
                <c:pt idx="46">
                  <c:v>-0.13473294307699896</c:v>
                </c:pt>
                <c:pt idx="47">
                  <c:v>-0.11815865246038401</c:v>
                </c:pt>
                <c:pt idx="48">
                  <c:v>-1.9782217832733977E-2</c:v>
                </c:pt>
                <c:pt idx="49">
                  <c:v>-2.6149467307152036E-2</c:v>
                </c:pt>
                <c:pt idx="50">
                  <c:v>3.0912753173510586E-2</c:v>
                </c:pt>
                <c:pt idx="51">
                  <c:v>5.2590564361223988E-2</c:v>
                </c:pt>
                <c:pt idx="52">
                  <c:v>8.280340614212707E-2</c:v>
                </c:pt>
                <c:pt idx="53">
                  <c:v>0.10900633890288067</c:v>
                </c:pt>
                <c:pt idx="54">
                  <c:v>0.14721469624517131</c:v>
                </c:pt>
                <c:pt idx="55">
                  <c:v>0.18102430490475258</c:v>
                </c:pt>
                <c:pt idx="56">
                  <c:v>0.21545605702443052</c:v>
                </c:pt>
                <c:pt idx="57">
                  <c:v>0.25170563456657563</c:v>
                </c:pt>
                <c:pt idx="58">
                  <c:v>0.29611598452669596</c:v>
                </c:pt>
                <c:pt idx="59">
                  <c:v>0.33441183079306203</c:v>
                </c:pt>
                <c:pt idx="60">
                  <c:v>0.37399084794587611</c:v>
                </c:pt>
                <c:pt idx="61">
                  <c:v>0.41738049379177677</c:v>
                </c:pt>
                <c:pt idx="62">
                  <c:v>0.45610406368695883</c:v>
                </c:pt>
                <c:pt idx="63">
                  <c:v>0.49187731264246792</c:v>
                </c:pt>
                <c:pt idx="64">
                  <c:v>0.52858863728390293</c:v>
                </c:pt>
                <c:pt idx="65">
                  <c:v>0.56447367764239809</c:v>
                </c:pt>
                <c:pt idx="66">
                  <c:v>0.58302132954650476</c:v>
                </c:pt>
                <c:pt idx="67">
                  <c:v>0.6030076882020825</c:v>
                </c:pt>
                <c:pt idx="68">
                  <c:v>0.64190623594541685</c:v>
                </c:pt>
                <c:pt idx="69">
                  <c:v>0.63134437861113391</c:v>
                </c:pt>
                <c:pt idx="70">
                  <c:v>0.67019918189242977</c:v>
                </c:pt>
                <c:pt idx="71">
                  <c:v>0.64897825730822467</c:v>
                </c:pt>
                <c:pt idx="72">
                  <c:v>0.62140952523272852</c:v>
                </c:pt>
                <c:pt idx="73">
                  <c:v>0.46178112276033323</c:v>
                </c:pt>
                <c:pt idx="74">
                  <c:v>0.38002272321133657</c:v>
                </c:pt>
                <c:pt idx="75">
                  <c:v>2.2066650850273279E-2</c:v>
                </c:pt>
                <c:pt idx="76">
                  <c:v>6.2068531136121097E-2</c:v>
                </c:pt>
                <c:pt idx="77">
                  <c:v>-0.42451570159975072</c:v>
                </c:pt>
                <c:pt idx="78">
                  <c:v>-0.81291791953925241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0-4388-B8C6-FCC797465F48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NASA_Exp.data!$B$4:$B$28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20">
                  <c:v>0.04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0.85</c:v>
                </c:pt>
              </c:numCache>
            </c:numRef>
          </c:xVal>
          <c:yVal>
            <c:numRef>
              <c:f>NASA_Exp.data!$C$4:$C$28</c:f>
              <c:numCache>
                <c:formatCode>General</c:formatCode>
                <c:ptCount val="25"/>
                <c:pt idx="0">
                  <c:v>0.91379999999999995</c:v>
                </c:pt>
                <c:pt idx="1">
                  <c:v>0.86909999999999998</c:v>
                </c:pt>
                <c:pt idx="2">
                  <c:v>0.71340000000000003</c:v>
                </c:pt>
                <c:pt idx="3">
                  <c:v>0.53169999999999995</c:v>
                </c:pt>
                <c:pt idx="4">
                  <c:v>0.35170000000000001</c:v>
                </c:pt>
                <c:pt idx="5">
                  <c:v>0.20549999999999999</c:v>
                </c:pt>
                <c:pt idx="6">
                  <c:v>8.7359999999999993E-2</c:v>
                </c:pt>
                <c:pt idx="20">
                  <c:v>-5.6059999999999999E-2</c:v>
                </c:pt>
                <c:pt idx="21">
                  <c:v>-0.27579999999999999</c:v>
                </c:pt>
                <c:pt idx="22">
                  <c:v>-0.2195</c:v>
                </c:pt>
                <c:pt idx="23">
                  <c:v>-9.8610000000000003E-2</c:v>
                </c:pt>
                <c:pt idx="24">
                  <c:v>-3.6740000000000002E-2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0-4388-B8C6-FCC797465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14479"/>
        <c:axId val="1605314959"/>
      </c:scatterChart>
      <c:valAx>
        <c:axId val="160531447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959"/>
        <c:crosses val="autoZero"/>
        <c:crossBetween val="midCat"/>
      </c:valAx>
      <c:valAx>
        <c:axId val="16053149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6459792845378"/>
          <c:y val="0.22611243362021607"/>
          <c:w val="0.11994712915657285"/>
          <c:h val="0.14950270751039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(68%)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8491622443814796E-2"/>
          <c:y val="0.17171292982316605"/>
          <c:w val="0.886974628171478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'0.68'!$I$2:$I$80</c:f>
              <c:numCache>
                <c:formatCode>General</c:formatCode>
                <c:ptCount val="79"/>
                <c:pt idx="0">
                  <c:v>-0.84410560088083708</c:v>
                </c:pt>
                <c:pt idx="1">
                  <c:v>-0.77448429413485453</c:v>
                </c:pt>
                <c:pt idx="2">
                  <c:v>-0.17352583272294139</c:v>
                </c:pt>
                <c:pt idx="3">
                  <c:v>-0.10615491164955625</c:v>
                </c:pt>
                <c:pt idx="4">
                  <c:v>0.16284353323333042</c:v>
                </c:pt>
                <c:pt idx="5">
                  <c:v>0.50013063459670859</c:v>
                </c:pt>
                <c:pt idx="6">
                  <c:v>0.63457359739633701</c:v>
                </c:pt>
                <c:pt idx="7">
                  <c:v>0.67917694467274048</c:v>
                </c:pt>
                <c:pt idx="8">
                  <c:v>0.75859797777736204</c:v>
                </c:pt>
                <c:pt idx="9">
                  <c:v>0.75559511939549007</c:v>
                </c:pt>
                <c:pt idx="10">
                  <c:v>0.75790528093751575</c:v>
                </c:pt>
                <c:pt idx="11">
                  <c:v>0.75405501170080613</c:v>
                </c:pt>
                <c:pt idx="12">
                  <c:v>0.69407168484324488</c:v>
                </c:pt>
                <c:pt idx="13">
                  <c:v>0.68947949158010058</c:v>
                </c:pt>
                <c:pt idx="14">
                  <c:v>0.63131757062629745</c:v>
                </c:pt>
                <c:pt idx="15">
                  <c:v>0.59399984696492847</c:v>
                </c:pt>
                <c:pt idx="16">
                  <c:v>0.54421006395871063</c:v>
                </c:pt>
                <c:pt idx="17">
                  <c:v>0.49393855776945206</c:v>
                </c:pt>
                <c:pt idx="18">
                  <c:v>0.43745739361487074</c:v>
                </c:pt>
                <c:pt idx="19">
                  <c:v>0.38488627456642682</c:v>
                </c:pt>
                <c:pt idx="20">
                  <c:v>0.33151697184973361</c:v>
                </c:pt>
                <c:pt idx="21">
                  <c:v>0.28450500865812822</c:v>
                </c:pt>
                <c:pt idx="22">
                  <c:v>0.23183191900889497</c:v>
                </c:pt>
                <c:pt idx="23">
                  <c:v>0.1935226191605374</c:v>
                </c:pt>
                <c:pt idx="24">
                  <c:v>0.1493904463843343</c:v>
                </c:pt>
                <c:pt idx="25">
                  <c:v>0.11120773073006002</c:v>
                </c:pt>
                <c:pt idx="26">
                  <c:v>6.6639545729790889E-2</c:v>
                </c:pt>
                <c:pt idx="27">
                  <c:v>3.4670004268453944E-2</c:v>
                </c:pt>
                <c:pt idx="28">
                  <c:v>-8.368621719971641E-3</c:v>
                </c:pt>
                <c:pt idx="29">
                  <c:v>-4.4058331996321289E-2</c:v>
                </c:pt>
                <c:pt idx="30">
                  <c:v>-7.0359714544803595E-2</c:v>
                </c:pt>
                <c:pt idx="31">
                  <c:v>-0.12711162822561967</c:v>
                </c:pt>
                <c:pt idx="32">
                  <c:v>-0.14353241118035395</c:v>
                </c:pt>
                <c:pt idx="33">
                  <c:v>-0.21413826165809788</c:v>
                </c:pt>
                <c:pt idx="34">
                  <c:v>-0.44522474041294507</c:v>
                </c:pt>
                <c:pt idx="35">
                  <c:v>-0.25661429122837409</c:v>
                </c:pt>
                <c:pt idx="36">
                  <c:v>-0.61256201253624354</c:v>
                </c:pt>
                <c:pt idx="37">
                  <c:v>-1.0165414030436142</c:v>
                </c:pt>
                <c:pt idx="38">
                  <c:v>0.1076844706613998</c:v>
                </c:pt>
                <c:pt idx="40">
                  <c:v>-0.77054611920780902</c:v>
                </c:pt>
                <c:pt idx="41">
                  <c:v>-0.77128452700663008</c:v>
                </c:pt>
                <c:pt idx="42">
                  <c:v>-0.57064857938411662</c:v>
                </c:pt>
                <c:pt idx="43">
                  <c:v>-0.6139333413054826</c:v>
                </c:pt>
                <c:pt idx="44">
                  <c:v>-0.67184561009873167</c:v>
                </c:pt>
                <c:pt idx="45">
                  <c:v>-0.33819077186003044</c:v>
                </c:pt>
                <c:pt idx="46">
                  <c:v>-0.31224101207289151</c:v>
                </c:pt>
                <c:pt idx="47">
                  <c:v>-9.3109707203718098E-2</c:v>
                </c:pt>
                <c:pt idx="48">
                  <c:v>9.212516347195672E-3</c:v>
                </c:pt>
                <c:pt idx="49">
                  <c:v>0.13121154962288331</c:v>
                </c:pt>
                <c:pt idx="50">
                  <c:v>0.16068808570629561</c:v>
                </c:pt>
                <c:pt idx="51">
                  <c:v>0.26061224202484784</c:v>
                </c:pt>
                <c:pt idx="52">
                  <c:v>0.26562286637399052</c:v>
                </c:pt>
                <c:pt idx="53">
                  <c:v>0.31983957994552142</c:v>
                </c:pt>
                <c:pt idx="54">
                  <c:v>0.30731126095885786</c:v>
                </c:pt>
                <c:pt idx="55">
                  <c:v>0.31777203810882243</c:v>
                </c:pt>
                <c:pt idx="56">
                  <c:v>0.32295847383863679</c:v>
                </c:pt>
                <c:pt idx="57">
                  <c:v>0.29182579454929658</c:v>
                </c:pt>
                <c:pt idx="58">
                  <c:v>0.28638619043131514</c:v>
                </c:pt>
                <c:pt idx="59">
                  <c:v>0.2598808666812536</c:v>
                </c:pt>
                <c:pt idx="60">
                  <c:v>0.23212728212842368</c:v>
                </c:pt>
                <c:pt idx="61">
                  <c:v>0.20543559831485006</c:v>
                </c:pt>
                <c:pt idx="62">
                  <c:v>0.17686273272808953</c:v>
                </c:pt>
                <c:pt idx="63">
                  <c:v>0.14723148262968586</c:v>
                </c:pt>
                <c:pt idx="64">
                  <c:v>0.1178147224157018</c:v>
                </c:pt>
                <c:pt idx="65">
                  <c:v>9.0725704881810101E-2</c:v>
                </c:pt>
                <c:pt idx="66">
                  <c:v>6.4150056579479892E-2</c:v>
                </c:pt>
                <c:pt idx="67">
                  <c:v>3.1505399416363829E-2</c:v>
                </c:pt>
                <c:pt idx="68">
                  <c:v>1.0021248698285369E-2</c:v>
                </c:pt>
                <c:pt idx="69">
                  <c:v>-2.2539019002108498E-2</c:v>
                </c:pt>
                <c:pt idx="70">
                  <c:v>-6.1780119168025942E-2</c:v>
                </c:pt>
                <c:pt idx="71">
                  <c:v>-6.8531276185818182E-2</c:v>
                </c:pt>
                <c:pt idx="72">
                  <c:v>-0.14877159032436982</c:v>
                </c:pt>
                <c:pt idx="73">
                  <c:v>-0.17275226264798602</c:v>
                </c:pt>
                <c:pt idx="74">
                  <c:v>-0.13797677155112908</c:v>
                </c:pt>
                <c:pt idx="75">
                  <c:v>-0.47750370990426422</c:v>
                </c:pt>
                <c:pt idx="76">
                  <c:v>-0.21811159886127771</c:v>
                </c:pt>
                <c:pt idx="77">
                  <c:v>-0.55929116419272662</c:v>
                </c:pt>
                <c:pt idx="78">
                  <c:v>-1.1233292356635884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E-4792-90CC-EFB2CB6991BE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NASA_Exp.data!$D$4:$D$30</c:f>
              <c:numCache>
                <c:formatCode>General</c:formatCode>
                <c:ptCount val="27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0.34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0.18</c:v>
                </c:pt>
                <c:pt idx="23">
                  <c:v>0.28000000000000003</c:v>
                </c:pt>
                <c:pt idx="24">
                  <c:v>0.38</c:v>
                </c:pt>
                <c:pt idx="25">
                  <c:v>0.51</c:v>
                </c:pt>
                <c:pt idx="26">
                  <c:v>0.79</c:v>
                </c:pt>
              </c:numCache>
            </c:numRef>
          </c:xVal>
          <c:yVal>
            <c:numRef>
              <c:f>NASA_Exp.data!$E$4:$E$30</c:f>
              <c:numCache>
                <c:formatCode>General</c:formatCode>
                <c:ptCount val="27"/>
                <c:pt idx="0">
                  <c:v>0.94159999999999999</c:v>
                </c:pt>
                <c:pt idx="1">
                  <c:v>0.93979999999999997</c:v>
                </c:pt>
                <c:pt idx="2">
                  <c:v>0.91080000000000005</c:v>
                </c:pt>
                <c:pt idx="3">
                  <c:v>0.87250000000000005</c:v>
                </c:pt>
                <c:pt idx="4">
                  <c:v>0.72540000000000004</c:v>
                </c:pt>
                <c:pt idx="5">
                  <c:v>0.64880000000000004</c:v>
                </c:pt>
                <c:pt idx="6">
                  <c:v>0.58340000000000003</c:v>
                </c:pt>
                <c:pt idx="7">
                  <c:v>0.53069999999999995</c:v>
                </c:pt>
                <c:pt idx="8">
                  <c:v>0.41830000000000001</c:v>
                </c:pt>
                <c:pt idx="9">
                  <c:v>0.39369999999999999</c:v>
                </c:pt>
                <c:pt idx="10">
                  <c:v>0.32350000000000001</c:v>
                </c:pt>
                <c:pt idx="11">
                  <c:v>0.2215</c:v>
                </c:pt>
                <c:pt idx="12">
                  <c:v>0.1338</c:v>
                </c:pt>
                <c:pt idx="13">
                  <c:v>6.5299999999999997E-2</c:v>
                </c:pt>
                <c:pt idx="20">
                  <c:v>-0.92689999999999995</c:v>
                </c:pt>
                <c:pt idx="21">
                  <c:v>-2.0590000000000001E-2</c:v>
                </c:pt>
                <c:pt idx="22">
                  <c:v>0.25319999999999998</c:v>
                </c:pt>
                <c:pt idx="23">
                  <c:v>0.28039999999999998</c:v>
                </c:pt>
                <c:pt idx="24">
                  <c:v>0.23350000000000001</c:v>
                </c:pt>
                <c:pt idx="25">
                  <c:v>0.1467</c:v>
                </c:pt>
                <c:pt idx="26">
                  <c:v>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BE-4792-90CC-EFB2CB69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2160"/>
        <c:axId val="1621854239"/>
      </c:scatterChart>
      <c:valAx>
        <c:axId val="86857216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1854239"/>
        <c:crosses val="autoZero"/>
        <c:crossBetween val="midCat"/>
      </c:valAx>
      <c:valAx>
        <c:axId val="162185423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7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22745417260224"/>
          <c:y val="0.19060102335692886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(80%)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05995188101487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'0.8'!$I$2:$I$80</c:f>
              <c:numCache>
                <c:formatCode>General</c:formatCode>
                <c:ptCount val="79"/>
                <c:pt idx="0">
                  <c:v>-0.77590100300650444</c:v>
                </c:pt>
                <c:pt idx="1">
                  <c:v>-0.84435509462608382</c:v>
                </c:pt>
                <c:pt idx="2">
                  <c:v>-0.3734363340434339</c:v>
                </c:pt>
                <c:pt idx="3">
                  <c:v>-9.848522356371249E-2</c:v>
                </c:pt>
                <c:pt idx="4">
                  <c:v>0.17418320421551026</c:v>
                </c:pt>
                <c:pt idx="5">
                  <c:v>0.36882610667028809</c:v>
                </c:pt>
                <c:pt idx="6">
                  <c:v>0.51171940478196831</c:v>
                </c:pt>
                <c:pt idx="7">
                  <c:v>0.65246460610959522</c:v>
                </c:pt>
                <c:pt idx="8">
                  <c:v>0.81658553386614408</c:v>
                </c:pt>
                <c:pt idx="9">
                  <c:v>0.81452979996592634</c:v>
                </c:pt>
                <c:pt idx="10">
                  <c:v>0.83273848277915297</c:v>
                </c:pt>
                <c:pt idx="11">
                  <c:v>0.83263292519762699</c:v>
                </c:pt>
                <c:pt idx="12">
                  <c:v>0.7942706611315582</c:v>
                </c:pt>
                <c:pt idx="13">
                  <c:v>0.77862702754941215</c:v>
                </c:pt>
                <c:pt idx="14">
                  <c:v>0.69672490004342646</c:v>
                </c:pt>
                <c:pt idx="15">
                  <c:v>0.62781691082328561</c:v>
                </c:pt>
                <c:pt idx="16">
                  <c:v>0.5514380837706454</c:v>
                </c:pt>
                <c:pt idx="17">
                  <c:v>0.4899613482899316</c:v>
                </c:pt>
                <c:pt idx="18">
                  <c:v>0.42650276921606761</c:v>
                </c:pt>
                <c:pt idx="19">
                  <c:v>0.36839595952556975</c:v>
                </c:pt>
                <c:pt idx="20">
                  <c:v>0.31189890295334266</c:v>
                </c:pt>
                <c:pt idx="21">
                  <c:v>0.2602997181639195</c:v>
                </c:pt>
                <c:pt idx="22">
                  <c:v>0.2129333923936868</c:v>
                </c:pt>
                <c:pt idx="23">
                  <c:v>0.1684303160223459</c:v>
                </c:pt>
                <c:pt idx="24">
                  <c:v>0.13274921452703609</c:v>
                </c:pt>
                <c:pt idx="25">
                  <c:v>8.7567930694391061E-2</c:v>
                </c:pt>
                <c:pt idx="26">
                  <c:v>4.8208147482901996E-2</c:v>
                </c:pt>
                <c:pt idx="27">
                  <c:v>1.802395704555617E-2</c:v>
                </c:pt>
                <c:pt idx="28">
                  <c:v>-1.6097531182707559E-2</c:v>
                </c:pt>
                <c:pt idx="29">
                  <c:v>-6.8955490131827626E-2</c:v>
                </c:pt>
                <c:pt idx="30">
                  <c:v>-7.4576431348084532E-2</c:v>
                </c:pt>
                <c:pt idx="31">
                  <c:v>-0.16311285285297611</c:v>
                </c:pt>
                <c:pt idx="32">
                  <c:v>-0.16250589675920191</c:v>
                </c:pt>
                <c:pt idx="33">
                  <c:v>-0.17921038403568368</c:v>
                </c:pt>
                <c:pt idx="34">
                  <c:v>-0.44255016054755048</c:v>
                </c:pt>
                <c:pt idx="35">
                  <c:v>-0.25924942022773617</c:v>
                </c:pt>
                <c:pt idx="36">
                  <c:v>-0.52169195729663242</c:v>
                </c:pt>
                <c:pt idx="37">
                  <c:v>-1.0057526367792633</c:v>
                </c:pt>
                <c:pt idx="38">
                  <c:v>3.3752036692922899E-2</c:v>
                </c:pt>
                <c:pt idx="40">
                  <c:v>-0.92125379276773922</c:v>
                </c:pt>
                <c:pt idx="41">
                  <c:v>-0.61049227275533891</c:v>
                </c:pt>
                <c:pt idx="42">
                  <c:v>-0.69169244234417682</c:v>
                </c:pt>
                <c:pt idx="43">
                  <c:v>-0.49261084358623286</c:v>
                </c:pt>
                <c:pt idx="44">
                  <c:v>-0.60859223628787174</c:v>
                </c:pt>
                <c:pt idx="45">
                  <c:v>-0.5034041062972614</c:v>
                </c:pt>
                <c:pt idx="46">
                  <c:v>-0.31231849433990816</c:v>
                </c:pt>
                <c:pt idx="47">
                  <c:v>-0.13659151049458088</c:v>
                </c:pt>
                <c:pt idx="48">
                  <c:v>-3.9293809723035339E-2</c:v>
                </c:pt>
                <c:pt idx="49">
                  <c:v>7.1860962563329592E-2</c:v>
                </c:pt>
                <c:pt idx="50">
                  <c:v>0.15597716034182196</c:v>
                </c:pt>
                <c:pt idx="51">
                  <c:v>0.23189417297528578</c:v>
                </c:pt>
                <c:pt idx="52">
                  <c:v>0.23171472508669197</c:v>
                </c:pt>
                <c:pt idx="53">
                  <c:v>0.26681789882314699</c:v>
                </c:pt>
                <c:pt idx="54">
                  <c:v>0.30825716639069733</c:v>
                </c:pt>
                <c:pt idx="55">
                  <c:v>0.30450987224652609</c:v>
                </c:pt>
                <c:pt idx="56">
                  <c:v>0.31036304014213978</c:v>
                </c:pt>
                <c:pt idx="57">
                  <c:v>0.3080275786508781</c:v>
                </c:pt>
                <c:pt idx="58">
                  <c:v>0.28723537402980398</c:v>
                </c:pt>
                <c:pt idx="59">
                  <c:v>0.26437951868989729</c:v>
                </c:pt>
                <c:pt idx="60">
                  <c:v>0.23383643247536343</c:v>
                </c:pt>
                <c:pt idx="61">
                  <c:v>0.20749453800556239</c:v>
                </c:pt>
                <c:pt idx="62">
                  <c:v>0.17726548559606811</c:v>
                </c:pt>
                <c:pt idx="63">
                  <c:v>0.14595446797593284</c:v>
                </c:pt>
                <c:pt idx="64">
                  <c:v>0.11356412408469446</c:v>
                </c:pt>
                <c:pt idx="65">
                  <c:v>8.468620871873267E-2</c:v>
                </c:pt>
                <c:pt idx="66">
                  <c:v>5.7895694527445939E-2</c:v>
                </c:pt>
                <c:pt idx="67">
                  <c:v>2.6072722636909951E-2</c:v>
                </c:pt>
                <c:pt idx="68">
                  <c:v>-1.9264258628486097E-3</c:v>
                </c:pt>
                <c:pt idx="69">
                  <c:v>-2.6600510544539706E-2</c:v>
                </c:pt>
                <c:pt idx="70">
                  <c:v>-7.4998661674188338E-2</c:v>
                </c:pt>
                <c:pt idx="71">
                  <c:v>-8.7454456294250582E-2</c:v>
                </c:pt>
                <c:pt idx="72">
                  <c:v>-0.15912805415037146</c:v>
                </c:pt>
                <c:pt idx="73">
                  <c:v>-0.19514957884610232</c:v>
                </c:pt>
                <c:pt idx="74">
                  <c:v>-0.1830368463659994</c:v>
                </c:pt>
                <c:pt idx="75">
                  <c:v>-0.46078523275615857</c:v>
                </c:pt>
                <c:pt idx="76">
                  <c:v>-0.25114787584561943</c:v>
                </c:pt>
                <c:pt idx="77">
                  <c:v>-0.60334074660695569</c:v>
                </c:pt>
                <c:pt idx="78">
                  <c:v>-1.0321156427653695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6-4CA8-8B1D-4B86CDFC6FF6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NASA_Exp.data!$F$4:$F$32</c:f>
              <c:numCache>
                <c:formatCode>General</c:formatCode>
                <c:ptCount val="2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0.9</c:v>
                </c:pt>
                <c:pt idx="20">
                  <c:v>0.01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0.21</c:v>
                </c:pt>
                <c:pt idx="24">
                  <c:v>0.34</c:v>
                </c:pt>
                <c:pt idx="25">
                  <c:v>0.37</c:v>
                </c:pt>
                <c:pt idx="26">
                  <c:v>0.47</c:v>
                </c:pt>
                <c:pt idx="27">
                  <c:v>0.74</c:v>
                </c:pt>
                <c:pt idx="28">
                  <c:v>0.99</c:v>
                </c:pt>
              </c:numCache>
            </c:numRef>
          </c:xVal>
          <c:yVal>
            <c:numRef>
              <c:f>NASA_Exp.data!$G$4:$G$32</c:f>
              <c:numCache>
                <c:formatCode>General</c:formatCode>
                <c:ptCount val="29"/>
                <c:pt idx="0">
                  <c:v>-0.18529999999999999</c:v>
                </c:pt>
                <c:pt idx="1">
                  <c:v>0.48320000000000002</c:v>
                </c:pt>
                <c:pt idx="2">
                  <c:v>1.153</c:v>
                </c:pt>
                <c:pt idx="3">
                  <c:v>1.1950000000000001</c:v>
                </c:pt>
                <c:pt idx="4">
                  <c:v>1.1559999999999999</c:v>
                </c:pt>
                <c:pt idx="5">
                  <c:v>1.17</c:v>
                </c:pt>
                <c:pt idx="6">
                  <c:v>1.0609999999999999</c:v>
                </c:pt>
                <c:pt idx="7">
                  <c:v>0.78390000000000004</c:v>
                </c:pt>
                <c:pt idx="8">
                  <c:v>0.73929999999999996</c:v>
                </c:pt>
                <c:pt idx="9">
                  <c:v>0.49280000000000002</c:v>
                </c:pt>
                <c:pt idx="10">
                  <c:v>0.32019999999999998</c:v>
                </c:pt>
                <c:pt idx="11">
                  <c:v>0.25840000000000002</c:v>
                </c:pt>
                <c:pt idx="12">
                  <c:v>0.17480000000000001</c:v>
                </c:pt>
                <c:pt idx="13">
                  <c:v>0.12759999999999999</c:v>
                </c:pt>
                <c:pt idx="14">
                  <c:v>-8.0210000000000004E-2</c:v>
                </c:pt>
                <c:pt idx="15">
                  <c:v>-8.0210000000000004E-2</c:v>
                </c:pt>
                <c:pt idx="20">
                  <c:v>-0.51749999999999996</c:v>
                </c:pt>
                <c:pt idx="21">
                  <c:v>-0.36909999999999998</c:v>
                </c:pt>
                <c:pt idx="22">
                  <c:v>0.16009999999999999</c:v>
                </c:pt>
                <c:pt idx="23">
                  <c:v>0.25340000000000001</c:v>
                </c:pt>
                <c:pt idx="24">
                  <c:v>0.33019999999999999</c:v>
                </c:pt>
                <c:pt idx="25">
                  <c:v>0.28620000000000001</c:v>
                </c:pt>
                <c:pt idx="26">
                  <c:v>0.15340000000000001</c:v>
                </c:pt>
                <c:pt idx="27">
                  <c:v>6.5570000000000003E-2</c:v>
                </c:pt>
                <c:pt idx="28">
                  <c:v>-6.4449999999999993E-2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6-4CA8-8B1D-4B86CDFC6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133695"/>
        <c:axId val="1119953103"/>
      </c:scatterChart>
      <c:valAx>
        <c:axId val="154413369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953103"/>
        <c:crosses val="autoZero"/>
        <c:crossBetween val="midCat"/>
      </c:valAx>
      <c:valAx>
        <c:axId val="11199531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13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360017497813"/>
          <c:y val="0.16745297462817149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(89%)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'0.89'!$H$2:$H$80</c:f>
              <c:numCache>
                <c:formatCode>General</c:formatCode>
                <c:ptCount val="79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5.9672738948427818E-4</c:v>
                </c:pt>
                <c:pt idx="41">
                  <c:v>2.2560536024765813E-3</c:v>
                </c:pt>
                <c:pt idx="42">
                  <c:v>5.1603288361695534E-3</c:v>
                </c:pt>
                <c:pt idx="43">
                  <c:v>9.2810798039583836E-3</c:v>
                </c:pt>
                <c:pt idx="44">
                  <c:v>1.4922425439367035E-2</c:v>
                </c:pt>
                <c:pt idx="45">
                  <c:v>2.2237031023766122E-2</c:v>
                </c:pt>
                <c:pt idx="46">
                  <c:v>3.1422997934172185E-2</c:v>
                </c:pt>
                <c:pt idx="47">
                  <c:v>4.2729315974725422E-2</c:v>
                </c:pt>
                <c:pt idx="48">
                  <c:v>5.6451622674429172E-2</c:v>
                </c:pt>
                <c:pt idx="49">
                  <c:v>7.2921298624195011E-2</c:v>
                </c:pt>
                <c:pt idx="50">
                  <c:v>9.248971629701877E-2</c:v>
                </c:pt>
                <c:pt idx="51">
                  <c:v>0.11550824816589626</c:v>
                </c:pt>
                <c:pt idx="52">
                  <c:v>0.14230161086104429</c:v>
                </c:pt>
                <c:pt idx="53">
                  <c:v>0.17313030466416665</c:v>
                </c:pt>
                <c:pt idx="54">
                  <c:v>0.20815583974991972</c:v>
                </c:pt>
                <c:pt idx="55">
                  <c:v>0.2473920044587955</c:v>
                </c:pt>
                <c:pt idx="56">
                  <c:v>0.29066881932790922</c:v>
                </c:pt>
                <c:pt idx="57">
                  <c:v>0.33760230694202953</c:v>
                </c:pt>
                <c:pt idx="58">
                  <c:v>0.38758322378185822</c:v>
                </c:pt>
                <c:pt idx="59">
                  <c:v>0.43979475001060175</c:v>
                </c:pt>
                <c:pt idx="60">
                  <c:v>0.49325061944543724</c:v>
                </c:pt>
                <c:pt idx="61">
                  <c:v>0.54686763556616391</c:v>
                </c:pt>
                <c:pt idx="62">
                  <c:v>0.59954685067275715</c:v>
                </c:pt>
                <c:pt idx="63">
                  <c:v>0.6502632264474425</c:v>
                </c:pt>
                <c:pt idx="64">
                  <c:v>0.69813954333694794</c:v>
                </c:pt>
                <c:pt idx="65">
                  <c:v>0.74250031805266947</c:v>
                </c:pt>
                <c:pt idx="66">
                  <c:v>0.78289967104266733</c:v>
                </c:pt>
                <c:pt idx="67">
                  <c:v>0.81911345090175502</c:v>
                </c:pt>
                <c:pt idx="68">
                  <c:v>0.85111681923097871</c:v>
                </c:pt>
                <c:pt idx="69">
                  <c:v>0.87904911339032021</c:v>
                </c:pt>
                <c:pt idx="70">
                  <c:v>0.9031544766670504</c:v>
                </c:pt>
                <c:pt idx="71">
                  <c:v>0.9237703477981668</c:v>
                </c:pt>
                <c:pt idx="72">
                  <c:v>0.94125415740275153</c:v>
                </c:pt>
                <c:pt idx="73">
                  <c:v>0.95597545239205883</c:v>
                </c:pt>
                <c:pt idx="74">
                  <c:v>0.96830983782342916</c:v>
                </c:pt>
                <c:pt idx="75">
                  <c:v>0.97858445358551371</c:v>
                </c:pt>
                <c:pt idx="76">
                  <c:v>0.98712038142087744</c:v>
                </c:pt>
                <c:pt idx="77">
                  <c:v>0.99417206346513831</c:v>
                </c:pt>
                <c:pt idx="78">
                  <c:v>1</c:v>
                </c:pt>
              </c:numCache>
            </c:numRef>
          </c:xVal>
          <c:yVal>
            <c:numRef>
              <c:f>'0.89'!$I$2:$I$80</c:f>
              <c:numCache>
                <c:formatCode>General</c:formatCode>
                <c:ptCount val="79"/>
                <c:pt idx="0">
                  <c:v>-0.64742109394727265</c:v>
                </c:pt>
                <c:pt idx="1">
                  <c:v>-0.70454000822858764</c:v>
                </c:pt>
                <c:pt idx="2">
                  <c:v>-0.31159975173280235</c:v>
                </c:pt>
                <c:pt idx="3">
                  <c:v>-8.2177250615986033E-2</c:v>
                </c:pt>
                <c:pt idx="4">
                  <c:v>0.14534055270386276</c:v>
                </c:pt>
                <c:pt idx="5">
                  <c:v>0.30775292277175936</c:v>
                </c:pt>
                <c:pt idx="6">
                  <c:v>0.42698480289915525</c:v>
                </c:pt>
                <c:pt idx="7">
                  <c:v>0.54442428533090748</c:v>
                </c:pt>
                <c:pt idx="8">
                  <c:v>0.68136875398871566</c:v>
                </c:pt>
                <c:pt idx="9">
                  <c:v>0.67965342499005954</c:v>
                </c:pt>
                <c:pt idx="10">
                  <c:v>0.69484696811037849</c:v>
                </c:pt>
                <c:pt idx="11">
                  <c:v>0.69475888959953602</c:v>
                </c:pt>
                <c:pt idx="12">
                  <c:v>0.66274895679662649</c:v>
                </c:pt>
                <c:pt idx="13">
                  <c:v>0.64969572148977839</c:v>
                </c:pt>
                <c:pt idx="14">
                  <c:v>0.58135560492713778</c:v>
                </c:pt>
                <c:pt idx="15">
                  <c:v>0.52385795304920035</c:v>
                </c:pt>
                <c:pt idx="16">
                  <c:v>0.46012654456638991</c:v>
                </c:pt>
                <c:pt idx="17">
                  <c:v>0.40882961985175958</c:v>
                </c:pt>
                <c:pt idx="18">
                  <c:v>0.35587902109606223</c:v>
                </c:pt>
                <c:pt idx="19">
                  <c:v>0.3073940028400764</c:v>
                </c:pt>
                <c:pt idx="20">
                  <c:v>0.2602521818744376</c:v>
                </c:pt>
                <c:pt idx="21">
                  <c:v>0.21719720381188728</c:v>
                </c:pt>
                <c:pt idx="22">
                  <c:v>0.17767417403411823</c:v>
                </c:pt>
                <c:pt idx="23">
                  <c:v>0.1405402738629504</c:v>
                </c:pt>
                <c:pt idx="24">
                  <c:v>0.11076753523543829</c:v>
                </c:pt>
                <c:pt idx="25">
                  <c:v>7.3067730632107905E-2</c:v>
                </c:pt>
                <c:pt idx="26">
                  <c:v>4.0225455901737282E-2</c:v>
                </c:pt>
                <c:pt idx="27">
                  <c:v>1.5039405726344712E-2</c:v>
                </c:pt>
                <c:pt idx="28">
                  <c:v>-1.3431972903470387E-2</c:v>
                </c:pt>
                <c:pt idx="29">
                  <c:v>-5.753728720781659E-2</c:v>
                </c:pt>
                <c:pt idx="30">
                  <c:v>-6.2227467910175922E-2</c:v>
                </c:pt>
                <c:pt idx="31">
                  <c:v>-0.13610331887926305</c:v>
                </c:pt>
                <c:pt idx="32">
                  <c:v>-0.13559686744191909</c:v>
                </c:pt>
                <c:pt idx="33">
                  <c:v>-0.14953529178273345</c:v>
                </c:pt>
                <c:pt idx="34">
                  <c:v>-0.3692691567068826</c:v>
                </c:pt>
                <c:pt idx="35">
                  <c:v>-0.21632082262900504</c:v>
                </c:pt>
                <c:pt idx="36">
                  <c:v>-0.43530602021099357</c:v>
                </c:pt>
                <c:pt idx="37">
                  <c:v>-0.83921205130666132</c:v>
                </c:pt>
                <c:pt idx="38">
                  <c:v>2.8163103841866599E-2</c:v>
                </c:pt>
                <c:pt idx="40">
                  <c:v>-0.76870520337729709</c:v>
                </c:pt>
                <c:pt idx="41">
                  <c:v>-0.50940206745718675</c:v>
                </c:pt>
                <c:pt idx="42">
                  <c:v>-0.57715646192272507</c:v>
                </c:pt>
                <c:pt idx="43">
                  <c:v>-0.41104039047390445</c:v>
                </c:pt>
                <c:pt idx="44">
                  <c:v>-0.50781665426202305</c:v>
                </c:pt>
                <c:pt idx="45">
                  <c:v>-0.42004641820754279</c:v>
                </c:pt>
                <c:pt idx="46">
                  <c:v>-0.26060229395503609</c:v>
                </c:pt>
                <c:pt idx="47">
                  <c:v>-0.11397359303010282</c:v>
                </c:pt>
                <c:pt idx="48">
                  <c:v>-3.2787225661094106E-2</c:v>
                </c:pt>
                <c:pt idx="49">
                  <c:v>5.9961648218754569E-2</c:v>
                </c:pt>
                <c:pt idx="50">
                  <c:v>0.13014921154631498</c:v>
                </c:pt>
                <c:pt idx="51">
                  <c:v>0.19349527654418949</c:v>
                </c:pt>
                <c:pt idx="52">
                  <c:v>0.19334554307575763</c:v>
                </c:pt>
                <c:pt idx="53">
                  <c:v>0.22263605185640725</c:v>
                </c:pt>
                <c:pt idx="54">
                  <c:v>0.2572134732503738</c:v>
                </c:pt>
                <c:pt idx="55">
                  <c:v>0.25408668611546759</c:v>
                </c:pt>
                <c:pt idx="56">
                  <c:v>0.25897063954167998</c:v>
                </c:pt>
                <c:pt idx="57">
                  <c:v>0.25702190248929124</c:v>
                </c:pt>
                <c:pt idx="58">
                  <c:v>0.23967263781610398</c:v>
                </c:pt>
                <c:pt idx="59">
                  <c:v>0.22060143825594697</c:v>
                </c:pt>
                <c:pt idx="60">
                  <c:v>0.19511592114369034</c:v>
                </c:pt>
                <c:pt idx="61">
                  <c:v>0.1731359287629623</c:v>
                </c:pt>
                <c:pt idx="62">
                  <c:v>0.14791244522046176</c:v>
                </c:pt>
                <c:pt idx="63">
                  <c:v>0.12178615694182632</c:v>
                </c:pt>
                <c:pt idx="64">
                  <c:v>9.475926588982686E-2</c:v>
                </c:pt>
                <c:pt idx="65">
                  <c:v>7.0663187286109666E-2</c:v>
                </c:pt>
                <c:pt idx="66">
                  <c:v>4.830886123430099E-2</c:v>
                </c:pt>
                <c:pt idx="67">
                  <c:v>2.1755392178079903E-2</c:v>
                </c:pt>
                <c:pt idx="68">
                  <c:v>-1.6074328228743249E-3</c:v>
                </c:pt>
                <c:pt idx="69">
                  <c:v>-2.219578473229205E-2</c:v>
                </c:pt>
                <c:pt idx="70">
                  <c:v>-6.2579781953545632E-2</c:v>
                </c:pt>
                <c:pt idx="71">
                  <c:v>-7.2973046232952227E-2</c:v>
                </c:pt>
                <c:pt idx="72">
                  <c:v>-0.13277835509496136</c:v>
                </c:pt>
                <c:pt idx="73">
                  <c:v>-0.16283514691994019</c:v>
                </c:pt>
                <c:pt idx="74">
                  <c:v>-0.15272813780077149</c:v>
                </c:pt>
                <c:pt idx="75">
                  <c:v>-0.38448471945491219</c:v>
                </c:pt>
                <c:pt idx="76">
                  <c:v>-0.20956079692184865</c:v>
                </c:pt>
                <c:pt idx="77">
                  <c:v>-0.50343474834761226</c:v>
                </c:pt>
                <c:pt idx="78">
                  <c:v>-0.86120965938955785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2-41CB-9782-0B555D7AD1DA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NASA_Exp.data!$H$4:$H$31</c:f>
              <c:numCache>
                <c:formatCode>General</c:formatCode>
                <c:ptCount val="28"/>
                <c:pt idx="0">
                  <c:v>0.01</c:v>
                </c:pt>
                <c:pt idx="1">
                  <c:v>0.04</c:v>
                </c:pt>
                <c:pt idx="2">
                  <c:v>0.08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0.34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0.65</c:v>
                </c:pt>
                <c:pt idx="16">
                  <c:v>0.8</c:v>
                </c:pt>
                <c:pt idx="17">
                  <c:v>0.87</c:v>
                </c:pt>
                <c:pt idx="20">
                  <c:v>0.01</c:v>
                </c:pt>
                <c:pt idx="21">
                  <c:v>0.04</c:v>
                </c:pt>
                <c:pt idx="22">
                  <c:v>0.14000000000000001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0.51</c:v>
                </c:pt>
                <c:pt idx="26">
                  <c:v>0.69</c:v>
                </c:pt>
                <c:pt idx="27">
                  <c:v>0.9</c:v>
                </c:pt>
              </c:numCache>
            </c:numRef>
          </c:xVal>
          <c:yVal>
            <c:numRef>
              <c:f>NASA_Exp.data!$I$4:$I$31</c:f>
              <c:numCache>
                <c:formatCode>General</c:formatCode>
                <c:ptCount val="28"/>
                <c:pt idx="0">
                  <c:v>0.44450000000000001</c:v>
                </c:pt>
                <c:pt idx="1">
                  <c:v>0.85350000000000004</c:v>
                </c:pt>
                <c:pt idx="2">
                  <c:v>0.91710000000000003</c:v>
                </c:pt>
                <c:pt idx="3">
                  <c:v>0.92349999999999999</c:v>
                </c:pt>
                <c:pt idx="4">
                  <c:v>1.046</c:v>
                </c:pt>
                <c:pt idx="5">
                  <c:v>1.1160000000000001</c:v>
                </c:pt>
                <c:pt idx="6">
                  <c:v>1.208</c:v>
                </c:pt>
                <c:pt idx="7">
                  <c:v>0.94720000000000004</c:v>
                </c:pt>
                <c:pt idx="8">
                  <c:v>1.127</c:v>
                </c:pt>
                <c:pt idx="9">
                  <c:v>1.0349999999999999</c:v>
                </c:pt>
                <c:pt idx="10">
                  <c:v>0.57709999999999995</c:v>
                </c:pt>
                <c:pt idx="11">
                  <c:v>0.37540000000000001</c:v>
                </c:pt>
                <c:pt idx="12">
                  <c:v>0.21110000000000001</c:v>
                </c:pt>
                <c:pt idx="13">
                  <c:v>0.13750000000000001</c:v>
                </c:pt>
                <c:pt idx="14">
                  <c:v>9.98E-2</c:v>
                </c:pt>
                <c:pt idx="15">
                  <c:v>-5.006E-2</c:v>
                </c:pt>
                <c:pt idx="16">
                  <c:v>-6.7939999999999997E-3</c:v>
                </c:pt>
                <c:pt idx="17">
                  <c:v>-7.1940000000000004E-2</c:v>
                </c:pt>
                <c:pt idx="20">
                  <c:v>-0.70269999999999999</c:v>
                </c:pt>
                <c:pt idx="21">
                  <c:v>-0.27450000000000002</c:v>
                </c:pt>
                <c:pt idx="22">
                  <c:v>0.18859999999999999</c:v>
                </c:pt>
                <c:pt idx="23">
                  <c:v>0.30349999999999999</c:v>
                </c:pt>
                <c:pt idx="24">
                  <c:v>0.25140000000000001</c:v>
                </c:pt>
                <c:pt idx="25">
                  <c:v>0.17580000000000001</c:v>
                </c:pt>
                <c:pt idx="26">
                  <c:v>-0.21929999999999999</c:v>
                </c:pt>
                <c:pt idx="27">
                  <c:v>-7.3120000000000004E-2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2-41CB-9782-0B555D7AD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95211747180251"/>
          <c:y val="0.21171206639710571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(96%)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2.2560536024765813E-3</c:v>
                </c:pt>
                <c:pt idx="41">
                  <c:v>5.1603288361695534E-3</c:v>
                </c:pt>
                <c:pt idx="42">
                  <c:v>9.2810798039583836E-3</c:v>
                </c:pt>
                <c:pt idx="43">
                  <c:v>1.4922425439367035E-2</c:v>
                </c:pt>
                <c:pt idx="44">
                  <c:v>2.2237031023766122E-2</c:v>
                </c:pt>
                <c:pt idx="45">
                  <c:v>3.1422997934172185E-2</c:v>
                </c:pt>
                <c:pt idx="46">
                  <c:v>4.2729315974725422E-2</c:v>
                </c:pt>
                <c:pt idx="47">
                  <c:v>5.6451622674429172E-2</c:v>
                </c:pt>
                <c:pt idx="48">
                  <c:v>7.2921298624195011E-2</c:v>
                </c:pt>
                <c:pt idx="49">
                  <c:v>9.248971629701877E-2</c:v>
                </c:pt>
                <c:pt idx="50">
                  <c:v>0.11550824816589626</c:v>
                </c:pt>
                <c:pt idx="51">
                  <c:v>0.14230161086104429</c:v>
                </c:pt>
                <c:pt idx="52">
                  <c:v>0.17313030466416665</c:v>
                </c:pt>
                <c:pt idx="53">
                  <c:v>0.20815583974991972</c:v>
                </c:pt>
                <c:pt idx="54">
                  <c:v>0.2473920044587955</c:v>
                </c:pt>
                <c:pt idx="55">
                  <c:v>0.29066881932790922</c:v>
                </c:pt>
                <c:pt idx="56">
                  <c:v>0.33760230694202953</c:v>
                </c:pt>
                <c:pt idx="57">
                  <c:v>0.38758322378185822</c:v>
                </c:pt>
                <c:pt idx="58">
                  <c:v>0.43979475001060175</c:v>
                </c:pt>
                <c:pt idx="59">
                  <c:v>0.49325061944543724</c:v>
                </c:pt>
                <c:pt idx="60">
                  <c:v>0.54686763556616391</c:v>
                </c:pt>
                <c:pt idx="61">
                  <c:v>0.59954685067275715</c:v>
                </c:pt>
                <c:pt idx="62">
                  <c:v>0.6502632264474425</c:v>
                </c:pt>
                <c:pt idx="63">
                  <c:v>0.69813954333694794</c:v>
                </c:pt>
                <c:pt idx="64">
                  <c:v>0.74250031805266947</c:v>
                </c:pt>
                <c:pt idx="65">
                  <c:v>0.78289967104266733</c:v>
                </c:pt>
                <c:pt idx="66">
                  <c:v>0.81911345090175502</c:v>
                </c:pt>
                <c:pt idx="67">
                  <c:v>0.85111681923097871</c:v>
                </c:pt>
                <c:pt idx="68">
                  <c:v>0.87904911339032021</c:v>
                </c:pt>
                <c:pt idx="69">
                  <c:v>0.9031544766670504</c:v>
                </c:pt>
                <c:pt idx="70">
                  <c:v>0.9237703477981668</c:v>
                </c:pt>
                <c:pt idx="71">
                  <c:v>0.94125415740275153</c:v>
                </c:pt>
                <c:pt idx="72">
                  <c:v>0.95597545239205883</c:v>
                </c:pt>
                <c:pt idx="73">
                  <c:v>0.96830983782342916</c:v>
                </c:pt>
                <c:pt idx="74">
                  <c:v>0.97858445358551371</c:v>
                </c:pt>
                <c:pt idx="75">
                  <c:v>0.98712038142087744</c:v>
                </c:pt>
                <c:pt idx="76">
                  <c:v>0.99417206346513831</c:v>
                </c:pt>
                <c:pt idx="77">
                  <c:v>1</c:v>
                </c:pt>
              </c:numCache>
            </c:numRef>
          </c:xVal>
          <c:yVal>
            <c:numRef>
              <c:f>'0.96'!$I$2:$I$79</c:f>
              <c:numCache>
                <c:formatCode>General</c:formatCode>
                <c:ptCount val="78"/>
                <c:pt idx="0">
                  <c:v>-0.57871954976311568</c:v>
                </c:pt>
                <c:pt idx="1">
                  <c:v>-0.62977725033061194</c:v>
                </c:pt>
                <c:pt idx="2">
                  <c:v>-0.27853412518528842</c:v>
                </c:pt>
                <c:pt idx="3">
                  <c:v>-7.3456953939049996E-2</c:v>
                </c:pt>
                <c:pt idx="4">
                  <c:v>0.129917637854957</c:v>
                </c:pt>
                <c:pt idx="5">
                  <c:v>0.27509550518176434</c:v>
                </c:pt>
                <c:pt idx="6">
                  <c:v>0.38167501059150932</c:v>
                </c:pt>
                <c:pt idx="7">
                  <c:v>0.48665231984620622</c:v>
                </c:pt>
                <c:pt idx="8">
                  <c:v>0.60906483001173128</c:v>
                </c:pt>
                <c:pt idx="9">
                  <c:v>0.60753152435475066</c:v>
                </c:pt>
                <c:pt idx="10">
                  <c:v>0.62111279397370689</c:v>
                </c:pt>
                <c:pt idx="11">
                  <c:v>0.62103406197591582</c:v>
                </c:pt>
                <c:pt idx="12">
                  <c:v>0.59242088567870332</c:v>
                </c:pt>
                <c:pt idx="13">
                  <c:v>0.58075280360606962</c:v>
                </c:pt>
                <c:pt idx="14">
                  <c:v>0.51966464651999356</c:v>
                </c:pt>
                <c:pt idx="15">
                  <c:v>0.46826839836199596</c:v>
                </c:pt>
                <c:pt idx="16">
                  <c:v>0.4112998930603366</c:v>
                </c:pt>
                <c:pt idx="17">
                  <c:v>0.36544637754682907</c:v>
                </c:pt>
                <c:pt idx="18">
                  <c:v>0.31811466877479411</c:v>
                </c:pt>
                <c:pt idx="19">
                  <c:v>0.2747746722907658</c:v>
                </c:pt>
                <c:pt idx="20">
                  <c:v>0.23263533877305095</c:v>
                </c:pt>
                <c:pt idx="21">
                  <c:v>0.19414916995284071</c:v>
                </c:pt>
                <c:pt idx="22">
                  <c:v>0.15882015424405146</c:v>
                </c:pt>
                <c:pt idx="23">
                  <c:v>0.12562674397534473</c:v>
                </c:pt>
                <c:pt idx="24">
                  <c:v>9.9013360422024826E-2</c:v>
                </c:pt>
                <c:pt idx="25">
                  <c:v>6.5314097067510665E-2</c:v>
                </c:pt>
                <c:pt idx="26">
                  <c:v>3.5956903391172759E-2</c:v>
                </c:pt>
                <c:pt idx="27">
                  <c:v>1.344348862282185E-2</c:v>
                </c:pt>
                <c:pt idx="28">
                  <c:v>-1.2006629663135182E-2</c:v>
                </c:pt>
                <c:pt idx="29">
                  <c:v>-5.1431677557003654E-2</c:v>
                </c:pt>
                <c:pt idx="30">
                  <c:v>-5.5624156439377084E-2</c:v>
                </c:pt>
                <c:pt idx="31">
                  <c:v>-0.12166061958662058</c:v>
                </c:pt>
                <c:pt idx="32">
                  <c:v>-0.12120791059932204</c:v>
                </c:pt>
                <c:pt idx="33">
                  <c:v>-0.13366724924975576</c:v>
                </c:pt>
                <c:pt idx="34">
                  <c:v>-0.33008390073897864</c:v>
                </c:pt>
                <c:pt idx="35">
                  <c:v>-0.1933657865748197</c:v>
                </c:pt>
                <c:pt idx="36">
                  <c:v>-0.38911321608281868</c:v>
                </c:pt>
                <c:pt idx="37">
                  <c:v>-0.75015847495312793</c:v>
                </c:pt>
                <c:pt idx="38">
                  <c:v>2.5174556293688356E-2</c:v>
                </c:pt>
                <c:pt idx="40">
                  <c:v>-0.68713351072139206</c:v>
                </c:pt>
                <c:pt idx="41">
                  <c:v>-0.45534650922453979</c:v>
                </c:pt>
                <c:pt idx="42">
                  <c:v>-0.51591109852530526</c:v>
                </c:pt>
                <c:pt idx="43">
                  <c:v>-0.3674225506913843</c:v>
                </c:pt>
                <c:pt idx="44">
                  <c:v>-0.4539293332643009</c:v>
                </c:pt>
                <c:pt idx="45">
                  <c:v>-0.37547289746551921</c:v>
                </c:pt>
                <c:pt idx="46">
                  <c:v>-0.23294829846427026</c:v>
                </c:pt>
                <c:pt idx="47">
                  <c:v>-0.10187920514161918</c:v>
                </c:pt>
                <c:pt idx="48">
                  <c:v>-2.9307986177718497E-2</c:v>
                </c:pt>
                <c:pt idx="49">
                  <c:v>5.3598775796202425E-2</c:v>
                </c:pt>
                <c:pt idx="50">
                  <c:v>0.11633833653594569</c:v>
                </c:pt>
                <c:pt idx="51">
                  <c:v>0.17296238934726887</c:v>
                </c:pt>
                <c:pt idx="52">
                  <c:v>0.17282854495102432</c:v>
                </c:pt>
                <c:pt idx="53">
                  <c:v>0.19901087081643806</c:v>
                </c:pt>
                <c:pt idx="54">
                  <c:v>0.22991908484925971</c:v>
                </c:pt>
                <c:pt idx="55">
                  <c:v>0.22712409892767743</c:v>
                </c:pt>
                <c:pt idx="56">
                  <c:v>0.23148978820519095</c:v>
                </c:pt>
                <c:pt idx="57">
                  <c:v>0.22974784275406396</c:v>
                </c:pt>
                <c:pt idx="58">
                  <c:v>0.21423960748917192</c:v>
                </c:pt>
                <c:pt idx="59">
                  <c:v>0.19719216166746464</c:v>
                </c:pt>
                <c:pt idx="60">
                  <c:v>0.17441105810662433</c:v>
                </c:pt>
                <c:pt idx="61">
                  <c:v>0.15476348805786777</c:v>
                </c:pt>
                <c:pt idx="62">
                  <c:v>0.13221661219045572</c:v>
                </c:pt>
                <c:pt idx="63">
                  <c:v>0.1088627333456854</c:v>
                </c:pt>
                <c:pt idx="64">
                  <c:v>8.4703819823501419E-2</c:v>
                </c:pt>
                <c:pt idx="65">
                  <c:v>6.3164713527815053E-2</c:v>
                </c:pt>
                <c:pt idx="66">
                  <c:v>4.3182532488446237E-2</c:v>
                </c:pt>
                <c:pt idx="67">
                  <c:v>1.9446803454389441E-2</c:v>
                </c:pt>
                <c:pt idx="68">
                  <c:v>-1.4368589596866692E-3</c:v>
                </c:pt>
                <c:pt idx="69">
                  <c:v>-1.9840463443344693E-2</c:v>
                </c:pt>
                <c:pt idx="70">
                  <c:v>-5.5939084430541283E-2</c:v>
                </c:pt>
                <c:pt idx="71">
                  <c:v>-6.5229460169885234E-2</c:v>
                </c:pt>
                <c:pt idx="72">
                  <c:v>-0.11868848667000843</c:v>
                </c:pt>
                <c:pt idx="73">
                  <c:v>-0.14555578091620436</c:v>
                </c:pt>
                <c:pt idx="74">
                  <c:v>-0.13652128416968135</c:v>
                </c:pt>
                <c:pt idx="75">
                  <c:v>-0.34368485335738264</c:v>
                </c:pt>
                <c:pt idx="76">
                  <c:v>-0.18732310574435659</c:v>
                </c:pt>
                <c:pt idx="77">
                  <c:v>-0.45001241637419614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A-45A7-98B0-3F94B06B12C0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NASA_Exp.data!$J$4:$J$31</c:f>
              <c:numCache>
                <c:formatCode>General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0.15</c:v>
                </c:pt>
                <c:pt idx="5">
                  <c:v>0.19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0.49</c:v>
                </c:pt>
                <c:pt idx="11">
                  <c:v>0.51</c:v>
                </c:pt>
                <c:pt idx="12">
                  <c:v>0.61</c:v>
                </c:pt>
                <c:pt idx="13">
                  <c:v>0.76</c:v>
                </c:pt>
                <c:pt idx="14">
                  <c:v>0.9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0.33</c:v>
                </c:pt>
                <c:pt idx="24">
                  <c:v>0.39</c:v>
                </c:pt>
                <c:pt idx="25">
                  <c:v>0.43</c:v>
                </c:pt>
                <c:pt idx="26">
                  <c:v>0.74</c:v>
                </c:pt>
                <c:pt idx="27">
                  <c:v>0.85</c:v>
                </c:pt>
              </c:numCache>
            </c:numRef>
          </c:xVal>
          <c:yVal>
            <c:numRef>
              <c:f>NASA_Exp.data!$K$4:$K$31</c:f>
              <c:numCache>
                <c:formatCode>General</c:formatCode>
                <c:ptCount val="28"/>
                <c:pt idx="0">
                  <c:v>-1.0920000000000001</c:v>
                </c:pt>
                <c:pt idx="1">
                  <c:v>0.49940000000000001</c:v>
                </c:pt>
                <c:pt idx="2">
                  <c:v>0.8911</c:v>
                </c:pt>
                <c:pt idx="3">
                  <c:v>0.97719999999999996</c:v>
                </c:pt>
                <c:pt idx="4">
                  <c:v>1.0620000000000001</c:v>
                </c:pt>
                <c:pt idx="5">
                  <c:v>1.028</c:v>
                </c:pt>
                <c:pt idx="6">
                  <c:v>1.0820000000000001</c:v>
                </c:pt>
                <c:pt idx="7">
                  <c:v>0.66059999999999997</c:v>
                </c:pt>
                <c:pt idx="8">
                  <c:v>0.22370000000000001</c:v>
                </c:pt>
                <c:pt idx="9">
                  <c:v>0.19470000000000001</c:v>
                </c:pt>
                <c:pt idx="10">
                  <c:v>0.1394</c:v>
                </c:pt>
                <c:pt idx="11">
                  <c:v>0.1174</c:v>
                </c:pt>
                <c:pt idx="12">
                  <c:v>0.65269999999999995</c:v>
                </c:pt>
                <c:pt idx="13">
                  <c:v>0.65269999999999995</c:v>
                </c:pt>
                <c:pt idx="14">
                  <c:v>-6.0740000000000002E-2</c:v>
                </c:pt>
                <c:pt idx="20">
                  <c:v>-1.1140000000000001</c:v>
                </c:pt>
                <c:pt idx="21">
                  <c:v>-8.7739999999999999E-2</c:v>
                </c:pt>
                <c:pt idx="22">
                  <c:v>0.2487</c:v>
                </c:pt>
                <c:pt idx="23">
                  <c:v>0.32379999999999998</c:v>
                </c:pt>
                <c:pt idx="24">
                  <c:v>0.25580000000000003</c:v>
                </c:pt>
                <c:pt idx="25">
                  <c:v>0.17580000000000001</c:v>
                </c:pt>
                <c:pt idx="26">
                  <c:v>6.4399999999999999E-2</c:v>
                </c:pt>
                <c:pt idx="27">
                  <c:v>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EA-45A7-98B0-3F94B06B1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(50%)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6780324940083466E-2"/>
          <c:y val="0.21833119697247147"/>
          <c:w val="0.88727121308100898"/>
          <c:h val="0.732942335696410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'0.5'!$H$2:$H$80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'0.5'!$I$2:$I$80</c:f>
              <c:numCache>
                <c:formatCode>General</c:formatCode>
                <c:ptCount val="79"/>
                <c:pt idx="0">
                  <c:v>-1.0339246627467251</c:v>
                </c:pt>
                <c:pt idx="1">
                  <c:v>-0.64168265313944461</c:v>
                </c:pt>
                <c:pt idx="2">
                  <c:v>-8.3357502661274618E-2</c:v>
                </c:pt>
                <c:pt idx="3">
                  <c:v>-0.43938881869266622</c:v>
                </c:pt>
                <c:pt idx="4">
                  <c:v>-0.13832970995567787</c:v>
                </c:pt>
                <c:pt idx="5">
                  <c:v>-8.7197294329053446E-2</c:v>
                </c:pt>
                <c:pt idx="6">
                  <c:v>-0.1270533597414413</c:v>
                </c:pt>
                <c:pt idx="7">
                  <c:v>-2.590644251805211E-2</c:v>
                </c:pt>
                <c:pt idx="8">
                  <c:v>-5.8811998962182088E-2</c:v>
                </c:pt>
                <c:pt idx="9">
                  <c:v>-2.9065764776351147E-2</c:v>
                </c:pt>
                <c:pt idx="10">
                  <c:v>1.1713794834616433E-2</c:v>
                </c:pt>
                <c:pt idx="11">
                  <c:v>1.2880313822296078E-2</c:v>
                </c:pt>
                <c:pt idx="12">
                  <c:v>4.8507747904345228E-2</c:v>
                </c:pt>
                <c:pt idx="13">
                  <c:v>6.9558555136181102E-2</c:v>
                </c:pt>
                <c:pt idx="14">
                  <c:v>9.2184163001384212E-2</c:v>
                </c:pt>
                <c:pt idx="15">
                  <c:v>0.11781841775564413</c:v>
                </c:pt>
                <c:pt idx="16">
                  <c:v>0.13699793411141056</c:v>
                </c:pt>
                <c:pt idx="17">
                  <c:v>0.15998807916026356</c:v>
                </c:pt>
                <c:pt idx="18">
                  <c:v>0.18256994256342826</c:v>
                </c:pt>
                <c:pt idx="19">
                  <c:v>0.20016493729426291</c:v>
                </c:pt>
                <c:pt idx="20">
                  <c:v>0.21400762928139483</c:v>
                </c:pt>
                <c:pt idx="21">
                  <c:v>0.23734773002655157</c:v>
                </c:pt>
                <c:pt idx="22">
                  <c:v>0.23273511952943526</c:v>
                </c:pt>
                <c:pt idx="23">
                  <c:v>0.23972937295973085</c:v>
                </c:pt>
                <c:pt idx="24">
                  <c:v>0.2282926263846882</c:v>
                </c:pt>
                <c:pt idx="25">
                  <c:v>0.23108741145933734</c:v>
                </c:pt>
                <c:pt idx="26">
                  <c:v>0.21613652643391032</c:v>
                </c:pt>
                <c:pt idx="27">
                  <c:v>0.17044786608312423</c:v>
                </c:pt>
                <c:pt idx="28">
                  <c:v>0.16392022024790007</c:v>
                </c:pt>
                <c:pt idx="29">
                  <c:v>4.9722871849844856E-2</c:v>
                </c:pt>
                <c:pt idx="30">
                  <c:v>4.5494240519506145E-2</c:v>
                </c:pt>
                <c:pt idx="31">
                  <c:v>-0.10809742619164708</c:v>
                </c:pt>
                <c:pt idx="32">
                  <c:v>-0.26470260028763937</c:v>
                </c:pt>
                <c:pt idx="33">
                  <c:v>-0.35583689620011166</c:v>
                </c:pt>
                <c:pt idx="34">
                  <c:v>-0.5717887237943059</c:v>
                </c:pt>
                <c:pt idx="35">
                  <c:v>-0.32502135294224099</c:v>
                </c:pt>
                <c:pt idx="36">
                  <c:v>-0.30679449375974654</c:v>
                </c:pt>
                <c:pt idx="37">
                  <c:v>-0.51404603390416348</c:v>
                </c:pt>
                <c:pt idx="38">
                  <c:v>-0.37071001329302711</c:v>
                </c:pt>
                <c:pt idx="40">
                  <c:v>7.4185747120643547E-2</c:v>
                </c:pt>
                <c:pt idx="41">
                  <c:v>-0.93136820174655632</c:v>
                </c:pt>
                <c:pt idx="42">
                  <c:v>-0.65218132402856144</c:v>
                </c:pt>
                <c:pt idx="43">
                  <c:v>-3.9272805918548037E-2</c:v>
                </c:pt>
                <c:pt idx="44">
                  <c:v>-0.41703053809547302</c:v>
                </c:pt>
                <c:pt idx="45">
                  <c:v>-9.4099198339491347E-2</c:v>
                </c:pt>
                <c:pt idx="46">
                  <c:v>-0.13473294307699896</c:v>
                </c:pt>
                <c:pt idx="47">
                  <c:v>-0.11815865246038401</c:v>
                </c:pt>
                <c:pt idx="48">
                  <c:v>-1.9782217832733977E-2</c:v>
                </c:pt>
                <c:pt idx="49">
                  <c:v>-2.6149467307152036E-2</c:v>
                </c:pt>
                <c:pt idx="50">
                  <c:v>3.0912753173510586E-2</c:v>
                </c:pt>
                <c:pt idx="51">
                  <c:v>5.2590564361223988E-2</c:v>
                </c:pt>
                <c:pt idx="52">
                  <c:v>8.280340614212707E-2</c:v>
                </c:pt>
                <c:pt idx="53">
                  <c:v>0.10900633890288067</c:v>
                </c:pt>
                <c:pt idx="54">
                  <c:v>0.14721469624517131</c:v>
                </c:pt>
                <c:pt idx="55">
                  <c:v>0.18102430490475258</c:v>
                </c:pt>
                <c:pt idx="56">
                  <c:v>0.21545605702443052</c:v>
                </c:pt>
                <c:pt idx="57">
                  <c:v>0.25170563456657563</c:v>
                </c:pt>
                <c:pt idx="58">
                  <c:v>0.29611598452669596</c:v>
                </c:pt>
                <c:pt idx="59">
                  <c:v>0.33441183079306203</c:v>
                </c:pt>
                <c:pt idx="60">
                  <c:v>0.37399084794587611</c:v>
                </c:pt>
                <c:pt idx="61">
                  <c:v>0.41738049379177677</c:v>
                </c:pt>
                <c:pt idx="62">
                  <c:v>0.45610406368695883</c:v>
                </c:pt>
                <c:pt idx="63">
                  <c:v>0.49187731264246792</c:v>
                </c:pt>
                <c:pt idx="64">
                  <c:v>0.52858863728390293</c:v>
                </c:pt>
                <c:pt idx="65">
                  <c:v>0.56447367764239809</c:v>
                </c:pt>
                <c:pt idx="66">
                  <c:v>0.58302132954650476</c:v>
                </c:pt>
                <c:pt idx="67">
                  <c:v>0.6030076882020825</c:v>
                </c:pt>
                <c:pt idx="68">
                  <c:v>0.64190623594541685</c:v>
                </c:pt>
                <c:pt idx="69">
                  <c:v>0.63134437861113391</c:v>
                </c:pt>
                <c:pt idx="70">
                  <c:v>0.67019918189242977</c:v>
                </c:pt>
                <c:pt idx="71">
                  <c:v>0.64897825730822467</c:v>
                </c:pt>
                <c:pt idx="72">
                  <c:v>0.62140952523272852</c:v>
                </c:pt>
                <c:pt idx="73">
                  <c:v>0.46178112276033323</c:v>
                </c:pt>
                <c:pt idx="74">
                  <c:v>0.38002272321133657</c:v>
                </c:pt>
                <c:pt idx="75">
                  <c:v>2.2066650850273279E-2</c:v>
                </c:pt>
                <c:pt idx="76">
                  <c:v>6.2068531136121097E-2</c:v>
                </c:pt>
                <c:pt idx="77">
                  <c:v>-0.42451570159975072</c:v>
                </c:pt>
                <c:pt idx="78">
                  <c:v>-0.81291791953925241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9-4013-B29A-EE3D6A963633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NASA_Exp.data!$B$4:$B$28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20">
                  <c:v>0.04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0.85</c:v>
                </c:pt>
              </c:numCache>
            </c:numRef>
          </c:xVal>
          <c:yVal>
            <c:numRef>
              <c:f>NASA_Exp.data!$C$4:$C$28</c:f>
              <c:numCache>
                <c:formatCode>General</c:formatCode>
                <c:ptCount val="25"/>
                <c:pt idx="0">
                  <c:v>0.91379999999999995</c:v>
                </c:pt>
                <c:pt idx="1">
                  <c:v>0.86909999999999998</c:v>
                </c:pt>
                <c:pt idx="2">
                  <c:v>0.71340000000000003</c:v>
                </c:pt>
                <c:pt idx="3">
                  <c:v>0.53169999999999995</c:v>
                </c:pt>
                <c:pt idx="4">
                  <c:v>0.35170000000000001</c:v>
                </c:pt>
                <c:pt idx="5">
                  <c:v>0.20549999999999999</c:v>
                </c:pt>
                <c:pt idx="6">
                  <c:v>8.7359999999999993E-2</c:v>
                </c:pt>
                <c:pt idx="20">
                  <c:v>-5.6059999999999999E-2</c:v>
                </c:pt>
                <c:pt idx="21">
                  <c:v>-0.27579999999999999</c:v>
                </c:pt>
                <c:pt idx="22">
                  <c:v>-0.2195</c:v>
                </c:pt>
                <c:pt idx="23">
                  <c:v>-9.8610000000000003E-2</c:v>
                </c:pt>
                <c:pt idx="24">
                  <c:v>-3.6740000000000002E-2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9-4013-B29A-EE3D6A96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14479"/>
        <c:axId val="1605314959"/>
      </c:scatterChart>
      <c:valAx>
        <c:axId val="160531447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959"/>
        <c:crosses val="autoZero"/>
        <c:crossBetween val="midCat"/>
      </c:valAx>
      <c:valAx>
        <c:axId val="16053149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6459792845378"/>
          <c:y val="0.22611243362021607"/>
          <c:w val="0.11994712915657285"/>
          <c:h val="0.14950270751039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(68%)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6974628171478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'0.68'!$I$2:$I$80</c:f>
              <c:numCache>
                <c:formatCode>General</c:formatCode>
                <c:ptCount val="79"/>
                <c:pt idx="0">
                  <c:v>-0.84410560088083708</c:v>
                </c:pt>
                <c:pt idx="1">
                  <c:v>-0.77448429413485453</c:v>
                </c:pt>
                <c:pt idx="2">
                  <c:v>-0.17352583272294139</c:v>
                </c:pt>
                <c:pt idx="3">
                  <c:v>-0.10615491164955625</c:v>
                </c:pt>
                <c:pt idx="4">
                  <c:v>0.16284353323333042</c:v>
                </c:pt>
                <c:pt idx="5">
                  <c:v>0.50013063459670859</c:v>
                </c:pt>
                <c:pt idx="6">
                  <c:v>0.63457359739633701</c:v>
                </c:pt>
                <c:pt idx="7">
                  <c:v>0.67917694467274048</c:v>
                </c:pt>
                <c:pt idx="8">
                  <c:v>0.75859797777736204</c:v>
                </c:pt>
                <c:pt idx="9">
                  <c:v>0.75559511939549007</c:v>
                </c:pt>
                <c:pt idx="10">
                  <c:v>0.75790528093751575</c:v>
                </c:pt>
                <c:pt idx="11">
                  <c:v>0.75405501170080613</c:v>
                </c:pt>
                <c:pt idx="12">
                  <c:v>0.69407168484324488</c:v>
                </c:pt>
                <c:pt idx="13">
                  <c:v>0.68947949158010058</c:v>
                </c:pt>
                <c:pt idx="14">
                  <c:v>0.63131757062629745</c:v>
                </c:pt>
                <c:pt idx="15">
                  <c:v>0.59399984696492847</c:v>
                </c:pt>
                <c:pt idx="16">
                  <c:v>0.54421006395871063</c:v>
                </c:pt>
                <c:pt idx="17">
                  <c:v>0.49393855776945206</c:v>
                </c:pt>
                <c:pt idx="18">
                  <c:v>0.43745739361487074</c:v>
                </c:pt>
                <c:pt idx="19">
                  <c:v>0.38488627456642682</c:v>
                </c:pt>
                <c:pt idx="20">
                  <c:v>0.33151697184973361</c:v>
                </c:pt>
                <c:pt idx="21">
                  <c:v>0.28450500865812822</c:v>
                </c:pt>
                <c:pt idx="22">
                  <c:v>0.23183191900889497</c:v>
                </c:pt>
                <c:pt idx="23">
                  <c:v>0.1935226191605374</c:v>
                </c:pt>
                <c:pt idx="24">
                  <c:v>0.1493904463843343</c:v>
                </c:pt>
                <c:pt idx="25">
                  <c:v>0.11120773073006002</c:v>
                </c:pt>
                <c:pt idx="26">
                  <c:v>6.6639545729790889E-2</c:v>
                </c:pt>
                <c:pt idx="27">
                  <c:v>3.4670004268453944E-2</c:v>
                </c:pt>
                <c:pt idx="28">
                  <c:v>-8.368621719971641E-3</c:v>
                </c:pt>
                <c:pt idx="29">
                  <c:v>-4.4058331996321289E-2</c:v>
                </c:pt>
                <c:pt idx="30">
                  <c:v>-7.0359714544803595E-2</c:v>
                </c:pt>
                <c:pt idx="31">
                  <c:v>-0.12711162822561967</c:v>
                </c:pt>
                <c:pt idx="32">
                  <c:v>-0.14353241118035395</c:v>
                </c:pt>
                <c:pt idx="33">
                  <c:v>-0.21413826165809788</c:v>
                </c:pt>
                <c:pt idx="34">
                  <c:v>-0.44522474041294507</c:v>
                </c:pt>
                <c:pt idx="35">
                  <c:v>-0.25661429122837409</c:v>
                </c:pt>
                <c:pt idx="36">
                  <c:v>-0.61256201253624354</c:v>
                </c:pt>
                <c:pt idx="37">
                  <c:v>-1.0165414030436142</c:v>
                </c:pt>
                <c:pt idx="38">
                  <c:v>0.1076844706613998</c:v>
                </c:pt>
                <c:pt idx="40">
                  <c:v>-0.77054611920780902</c:v>
                </c:pt>
                <c:pt idx="41">
                  <c:v>-0.77128452700663008</c:v>
                </c:pt>
                <c:pt idx="42">
                  <c:v>-0.57064857938411662</c:v>
                </c:pt>
                <c:pt idx="43">
                  <c:v>-0.6139333413054826</c:v>
                </c:pt>
                <c:pt idx="44">
                  <c:v>-0.67184561009873167</c:v>
                </c:pt>
                <c:pt idx="45">
                  <c:v>-0.33819077186003044</c:v>
                </c:pt>
                <c:pt idx="46">
                  <c:v>-0.31224101207289151</c:v>
                </c:pt>
                <c:pt idx="47">
                  <c:v>-9.3109707203718098E-2</c:v>
                </c:pt>
                <c:pt idx="48">
                  <c:v>9.212516347195672E-3</c:v>
                </c:pt>
                <c:pt idx="49">
                  <c:v>0.13121154962288331</c:v>
                </c:pt>
                <c:pt idx="50">
                  <c:v>0.16068808570629561</c:v>
                </c:pt>
                <c:pt idx="51">
                  <c:v>0.26061224202484784</c:v>
                </c:pt>
                <c:pt idx="52">
                  <c:v>0.26562286637399052</c:v>
                </c:pt>
                <c:pt idx="53">
                  <c:v>0.31983957994552142</c:v>
                </c:pt>
                <c:pt idx="54">
                  <c:v>0.30731126095885786</c:v>
                </c:pt>
                <c:pt idx="55">
                  <c:v>0.31777203810882243</c:v>
                </c:pt>
                <c:pt idx="56">
                  <c:v>0.32295847383863679</c:v>
                </c:pt>
                <c:pt idx="57">
                  <c:v>0.29182579454929658</c:v>
                </c:pt>
                <c:pt idx="58">
                  <c:v>0.28638619043131514</c:v>
                </c:pt>
                <c:pt idx="59">
                  <c:v>0.2598808666812536</c:v>
                </c:pt>
                <c:pt idx="60">
                  <c:v>0.23212728212842368</c:v>
                </c:pt>
                <c:pt idx="61">
                  <c:v>0.20543559831485006</c:v>
                </c:pt>
                <c:pt idx="62">
                  <c:v>0.17686273272808953</c:v>
                </c:pt>
                <c:pt idx="63">
                  <c:v>0.14723148262968586</c:v>
                </c:pt>
                <c:pt idx="64">
                  <c:v>0.1178147224157018</c:v>
                </c:pt>
                <c:pt idx="65">
                  <c:v>9.0725704881810101E-2</c:v>
                </c:pt>
                <c:pt idx="66">
                  <c:v>6.4150056579479892E-2</c:v>
                </c:pt>
                <c:pt idx="67">
                  <c:v>3.1505399416363829E-2</c:v>
                </c:pt>
                <c:pt idx="68">
                  <c:v>1.0021248698285369E-2</c:v>
                </c:pt>
                <c:pt idx="69">
                  <c:v>-2.2539019002108498E-2</c:v>
                </c:pt>
                <c:pt idx="70">
                  <c:v>-6.1780119168025942E-2</c:v>
                </c:pt>
                <c:pt idx="71">
                  <c:v>-6.8531276185818182E-2</c:v>
                </c:pt>
                <c:pt idx="72">
                  <c:v>-0.14877159032436982</c:v>
                </c:pt>
                <c:pt idx="73">
                  <c:v>-0.17275226264798602</c:v>
                </c:pt>
                <c:pt idx="74">
                  <c:v>-0.13797677155112908</c:v>
                </c:pt>
                <c:pt idx="75">
                  <c:v>-0.47750370990426422</c:v>
                </c:pt>
                <c:pt idx="76">
                  <c:v>-0.21811159886127771</c:v>
                </c:pt>
                <c:pt idx="77">
                  <c:v>-0.55929116419272662</c:v>
                </c:pt>
                <c:pt idx="78">
                  <c:v>-1.1233292356635884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F-49A6-9B52-16B946690222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NASA_Exp.data!$D$4:$D$30</c:f>
              <c:numCache>
                <c:formatCode>General</c:formatCode>
                <c:ptCount val="27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0.34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0.18</c:v>
                </c:pt>
                <c:pt idx="23">
                  <c:v>0.28000000000000003</c:v>
                </c:pt>
                <c:pt idx="24">
                  <c:v>0.38</c:v>
                </c:pt>
                <c:pt idx="25">
                  <c:v>0.51</c:v>
                </c:pt>
                <c:pt idx="26">
                  <c:v>0.79</c:v>
                </c:pt>
              </c:numCache>
            </c:numRef>
          </c:xVal>
          <c:yVal>
            <c:numRef>
              <c:f>NASA_Exp.data!$E$4:$E$30</c:f>
              <c:numCache>
                <c:formatCode>General</c:formatCode>
                <c:ptCount val="27"/>
                <c:pt idx="0">
                  <c:v>0.94159999999999999</c:v>
                </c:pt>
                <c:pt idx="1">
                  <c:v>0.93979999999999997</c:v>
                </c:pt>
                <c:pt idx="2">
                  <c:v>0.91080000000000005</c:v>
                </c:pt>
                <c:pt idx="3">
                  <c:v>0.87250000000000005</c:v>
                </c:pt>
                <c:pt idx="4">
                  <c:v>0.72540000000000004</c:v>
                </c:pt>
                <c:pt idx="5">
                  <c:v>0.64880000000000004</c:v>
                </c:pt>
                <c:pt idx="6">
                  <c:v>0.58340000000000003</c:v>
                </c:pt>
                <c:pt idx="7">
                  <c:v>0.53069999999999995</c:v>
                </c:pt>
                <c:pt idx="8">
                  <c:v>0.41830000000000001</c:v>
                </c:pt>
                <c:pt idx="9">
                  <c:v>0.39369999999999999</c:v>
                </c:pt>
                <c:pt idx="10">
                  <c:v>0.32350000000000001</c:v>
                </c:pt>
                <c:pt idx="11">
                  <c:v>0.2215</c:v>
                </c:pt>
                <c:pt idx="12">
                  <c:v>0.1338</c:v>
                </c:pt>
                <c:pt idx="13">
                  <c:v>6.5299999999999997E-2</c:v>
                </c:pt>
                <c:pt idx="20">
                  <c:v>-0.92689999999999995</c:v>
                </c:pt>
                <c:pt idx="21">
                  <c:v>-2.0590000000000001E-2</c:v>
                </c:pt>
                <c:pt idx="22">
                  <c:v>0.25319999999999998</c:v>
                </c:pt>
                <c:pt idx="23">
                  <c:v>0.28039999999999998</c:v>
                </c:pt>
                <c:pt idx="24">
                  <c:v>0.23350000000000001</c:v>
                </c:pt>
                <c:pt idx="25">
                  <c:v>0.1467</c:v>
                </c:pt>
                <c:pt idx="26">
                  <c:v>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3F-49A6-9B52-16B94669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2160"/>
        <c:axId val="1621854239"/>
      </c:scatterChart>
      <c:valAx>
        <c:axId val="86857216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1854239"/>
        <c:crosses val="autoZero"/>
        <c:crossBetween val="midCat"/>
      </c:valAx>
      <c:valAx>
        <c:axId val="162185423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7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51377952755907"/>
          <c:y val="0.19060112277631966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(80%)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05995188101487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'0.8'!$I$2:$I$80</c:f>
              <c:numCache>
                <c:formatCode>General</c:formatCode>
                <c:ptCount val="79"/>
                <c:pt idx="0">
                  <c:v>-0.77590100300650444</c:v>
                </c:pt>
                <c:pt idx="1">
                  <c:v>-0.84435509462608382</c:v>
                </c:pt>
                <c:pt idx="2">
                  <c:v>-0.3734363340434339</c:v>
                </c:pt>
                <c:pt idx="3">
                  <c:v>-9.848522356371249E-2</c:v>
                </c:pt>
                <c:pt idx="4">
                  <c:v>0.17418320421551026</c:v>
                </c:pt>
                <c:pt idx="5">
                  <c:v>0.36882610667028809</c:v>
                </c:pt>
                <c:pt idx="6">
                  <c:v>0.51171940478196831</c:v>
                </c:pt>
                <c:pt idx="7">
                  <c:v>0.65246460610959522</c:v>
                </c:pt>
                <c:pt idx="8">
                  <c:v>0.81658553386614408</c:v>
                </c:pt>
                <c:pt idx="9">
                  <c:v>0.81452979996592634</c:v>
                </c:pt>
                <c:pt idx="10">
                  <c:v>0.83273848277915297</c:v>
                </c:pt>
                <c:pt idx="11">
                  <c:v>0.83263292519762699</c:v>
                </c:pt>
                <c:pt idx="12">
                  <c:v>0.7942706611315582</c:v>
                </c:pt>
                <c:pt idx="13">
                  <c:v>0.77862702754941215</c:v>
                </c:pt>
                <c:pt idx="14">
                  <c:v>0.69672490004342646</c:v>
                </c:pt>
                <c:pt idx="15">
                  <c:v>0.62781691082328561</c:v>
                </c:pt>
                <c:pt idx="16">
                  <c:v>0.5514380837706454</c:v>
                </c:pt>
                <c:pt idx="17">
                  <c:v>0.4899613482899316</c:v>
                </c:pt>
                <c:pt idx="18">
                  <c:v>0.42650276921606761</c:v>
                </c:pt>
                <c:pt idx="19">
                  <c:v>0.36839595952556975</c:v>
                </c:pt>
                <c:pt idx="20">
                  <c:v>0.31189890295334266</c:v>
                </c:pt>
                <c:pt idx="21">
                  <c:v>0.2602997181639195</c:v>
                </c:pt>
                <c:pt idx="22">
                  <c:v>0.2129333923936868</c:v>
                </c:pt>
                <c:pt idx="23">
                  <c:v>0.1684303160223459</c:v>
                </c:pt>
                <c:pt idx="24">
                  <c:v>0.13274921452703609</c:v>
                </c:pt>
                <c:pt idx="25">
                  <c:v>8.7567930694391061E-2</c:v>
                </c:pt>
                <c:pt idx="26">
                  <c:v>4.8208147482901996E-2</c:v>
                </c:pt>
                <c:pt idx="27">
                  <c:v>1.802395704555617E-2</c:v>
                </c:pt>
                <c:pt idx="28">
                  <c:v>-1.6097531182707559E-2</c:v>
                </c:pt>
                <c:pt idx="29">
                  <c:v>-6.8955490131827626E-2</c:v>
                </c:pt>
                <c:pt idx="30">
                  <c:v>-7.4576431348084532E-2</c:v>
                </c:pt>
                <c:pt idx="31">
                  <c:v>-0.16311285285297611</c:v>
                </c:pt>
                <c:pt idx="32">
                  <c:v>-0.16250589675920191</c:v>
                </c:pt>
                <c:pt idx="33">
                  <c:v>-0.17921038403568368</c:v>
                </c:pt>
                <c:pt idx="34">
                  <c:v>-0.44255016054755048</c:v>
                </c:pt>
                <c:pt idx="35">
                  <c:v>-0.25924942022773617</c:v>
                </c:pt>
                <c:pt idx="36">
                  <c:v>-0.52169195729663242</c:v>
                </c:pt>
                <c:pt idx="37">
                  <c:v>-1.0057526367792633</c:v>
                </c:pt>
                <c:pt idx="38">
                  <c:v>3.3752036692922899E-2</c:v>
                </c:pt>
                <c:pt idx="40">
                  <c:v>-0.92125379276773922</c:v>
                </c:pt>
                <c:pt idx="41">
                  <c:v>-0.61049227275533891</c:v>
                </c:pt>
                <c:pt idx="42">
                  <c:v>-0.69169244234417682</c:v>
                </c:pt>
                <c:pt idx="43">
                  <c:v>-0.49261084358623286</c:v>
                </c:pt>
                <c:pt idx="44">
                  <c:v>-0.60859223628787174</c:v>
                </c:pt>
                <c:pt idx="45">
                  <c:v>-0.5034041062972614</c:v>
                </c:pt>
                <c:pt idx="46">
                  <c:v>-0.31231849433990816</c:v>
                </c:pt>
                <c:pt idx="47">
                  <c:v>-0.13659151049458088</c:v>
                </c:pt>
                <c:pt idx="48">
                  <c:v>-3.9293809723035339E-2</c:v>
                </c:pt>
                <c:pt idx="49">
                  <c:v>7.1860962563329592E-2</c:v>
                </c:pt>
                <c:pt idx="50">
                  <c:v>0.15597716034182196</c:v>
                </c:pt>
                <c:pt idx="51">
                  <c:v>0.23189417297528578</c:v>
                </c:pt>
                <c:pt idx="52">
                  <c:v>0.23171472508669197</c:v>
                </c:pt>
                <c:pt idx="53">
                  <c:v>0.26681789882314699</c:v>
                </c:pt>
                <c:pt idx="54">
                  <c:v>0.30825716639069733</c:v>
                </c:pt>
                <c:pt idx="55">
                  <c:v>0.30450987224652609</c:v>
                </c:pt>
                <c:pt idx="56">
                  <c:v>0.31036304014213978</c:v>
                </c:pt>
                <c:pt idx="57">
                  <c:v>0.3080275786508781</c:v>
                </c:pt>
                <c:pt idx="58">
                  <c:v>0.28723537402980398</c:v>
                </c:pt>
                <c:pt idx="59">
                  <c:v>0.26437951868989729</c:v>
                </c:pt>
                <c:pt idx="60">
                  <c:v>0.23383643247536343</c:v>
                </c:pt>
                <c:pt idx="61">
                  <c:v>0.20749453800556239</c:v>
                </c:pt>
                <c:pt idx="62">
                  <c:v>0.17726548559606811</c:v>
                </c:pt>
                <c:pt idx="63">
                  <c:v>0.14595446797593284</c:v>
                </c:pt>
                <c:pt idx="64">
                  <c:v>0.11356412408469446</c:v>
                </c:pt>
                <c:pt idx="65">
                  <c:v>8.468620871873267E-2</c:v>
                </c:pt>
                <c:pt idx="66">
                  <c:v>5.7895694527445939E-2</c:v>
                </c:pt>
                <c:pt idx="67">
                  <c:v>2.6072722636909951E-2</c:v>
                </c:pt>
                <c:pt idx="68">
                  <c:v>-1.9264258628486097E-3</c:v>
                </c:pt>
                <c:pt idx="69">
                  <c:v>-2.6600510544539706E-2</c:v>
                </c:pt>
                <c:pt idx="70">
                  <c:v>-7.4998661674188338E-2</c:v>
                </c:pt>
                <c:pt idx="71">
                  <c:v>-8.7454456294250582E-2</c:v>
                </c:pt>
                <c:pt idx="72">
                  <c:v>-0.15912805415037146</c:v>
                </c:pt>
                <c:pt idx="73">
                  <c:v>-0.19514957884610232</c:v>
                </c:pt>
                <c:pt idx="74">
                  <c:v>-0.1830368463659994</c:v>
                </c:pt>
                <c:pt idx="75">
                  <c:v>-0.46078523275615857</c:v>
                </c:pt>
                <c:pt idx="76">
                  <c:v>-0.25114787584561943</c:v>
                </c:pt>
                <c:pt idx="77">
                  <c:v>-0.60334074660695569</c:v>
                </c:pt>
                <c:pt idx="78">
                  <c:v>-1.0321156427653695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5-4F0A-925E-096047857B72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NASA_Exp.data!$F$4:$F$32</c:f>
              <c:numCache>
                <c:formatCode>General</c:formatCode>
                <c:ptCount val="2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0.9</c:v>
                </c:pt>
                <c:pt idx="20">
                  <c:v>0.01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0.21</c:v>
                </c:pt>
                <c:pt idx="24">
                  <c:v>0.34</c:v>
                </c:pt>
                <c:pt idx="25">
                  <c:v>0.37</c:v>
                </c:pt>
                <c:pt idx="26">
                  <c:v>0.47</c:v>
                </c:pt>
                <c:pt idx="27">
                  <c:v>0.74</c:v>
                </c:pt>
                <c:pt idx="28">
                  <c:v>0.99</c:v>
                </c:pt>
              </c:numCache>
            </c:numRef>
          </c:xVal>
          <c:yVal>
            <c:numRef>
              <c:f>NASA_Exp.data!$G$4:$G$32</c:f>
              <c:numCache>
                <c:formatCode>General</c:formatCode>
                <c:ptCount val="29"/>
                <c:pt idx="0">
                  <c:v>-0.18529999999999999</c:v>
                </c:pt>
                <c:pt idx="1">
                  <c:v>0.48320000000000002</c:v>
                </c:pt>
                <c:pt idx="2">
                  <c:v>1.153</c:v>
                </c:pt>
                <c:pt idx="3">
                  <c:v>1.1950000000000001</c:v>
                </c:pt>
                <c:pt idx="4">
                  <c:v>1.1559999999999999</c:v>
                </c:pt>
                <c:pt idx="5">
                  <c:v>1.17</c:v>
                </c:pt>
                <c:pt idx="6">
                  <c:v>1.0609999999999999</c:v>
                </c:pt>
                <c:pt idx="7">
                  <c:v>0.78390000000000004</c:v>
                </c:pt>
                <c:pt idx="8">
                  <c:v>0.73929999999999996</c:v>
                </c:pt>
                <c:pt idx="9">
                  <c:v>0.49280000000000002</c:v>
                </c:pt>
                <c:pt idx="10">
                  <c:v>0.32019999999999998</c:v>
                </c:pt>
                <c:pt idx="11">
                  <c:v>0.25840000000000002</c:v>
                </c:pt>
                <c:pt idx="12">
                  <c:v>0.17480000000000001</c:v>
                </c:pt>
                <c:pt idx="13">
                  <c:v>0.12759999999999999</c:v>
                </c:pt>
                <c:pt idx="14">
                  <c:v>-8.0210000000000004E-2</c:v>
                </c:pt>
                <c:pt idx="15">
                  <c:v>-8.0210000000000004E-2</c:v>
                </c:pt>
                <c:pt idx="20">
                  <c:v>-0.51749999999999996</c:v>
                </c:pt>
                <c:pt idx="21">
                  <c:v>-0.36909999999999998</c:v>
                </c:pt>
                <c:pt idx="22">
                  <c:v>0.16009999999999999</c:v>
                </c:pt>
                <c:pt idx="23">
                  <c:v>0.25340000000000001</c:v>
                </c:pt>
                <c:pt idx="24">
                  <c:v>0.33019999999999999</c:v>
                </c:pt>
                <c:pt idx="25">
                  <c:v>0.28620000000000001</c:v>
                </c:pt>
                <c:pt idx="26">
                  <c:v>0.15340000000000001</c:v>
                </c:pt>
                <c:pt idx="27">
                  <c:v>6.5570000000000003E-2</c:v>
                </c:pt>
                <c:pt idx="28">
                  <c:v>-6.4449999999999993E-2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5-4F0A-925E-09604785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133695"/>
        <c:axId val="1119953103"/>
      </c:scatterChart>
      <c:valAx>
        <c:axId val="154413369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953103"/>
        <c:crosses val="autoZero"/>
        <c:crossBetween val="midCat"/>
      </c:valAx>
      <c:valAx>
        <c:axId val="11199531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13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360017497813"/>
          <c:y val="0.16745297462817149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(89%)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'0.89'!$H$2:$H$80</c:f>
              <c:numCache>
                <c:formatCode>General</c:formatCode>
                <c:ptCount val="79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5.9672738948427818E-4</c:v>
                </c:pt>
                <c:pt idx="41">
                  <c:v>2.2560536024765813E-3</c:v>
                </c:pt>
                <c:pt idx="42">
                  <c:v>5.1603288361695534E-3</c:v>
                </c:pt>
                <c:pt idx="43">
                  <c:v>9.2810798039583836E-3</c:v>
                </c:pt>
                <c:pt idx="44">
                  <c:v>1.4922425439367035E-2</c:v>
                </c:pt>
                <c:pt idx="45">
                  <c:v>2.2237031023766122E-2</c:v>
                </c:pt>
                <c:pt idx="46">
                  <c:v>3.1422997934172185E-2</c:v>
                </c:pt>
                <c:pt idx="47">
                  <c:v>4.2729315974725422E-2</c:v>
                </c:pt>
                <c:pt idx="48">
                  <c:v>5.6451622674429172E-2</c:v>
                </c:pt>
                <c:pt idx="49">
                  <c:v>7.2921298624195011E-2</c:v>
                </c:pt>
                <c:pt idx="50">
                  <c:v>9.248971629701877E-2</c:v>
                </c:pt>
                <c:pt idx="51">
                  <c:v>0.11550824816589626</c:v>
                </c:pt>
                <c:pt idx="52">
                  <c:v>0.14230161086104429</c:v>
                </c:pt>
                <c:pt idx="53">
                  <c:v>0.17313030466416665</c:v>
                </c:pt>
                <c:pt idx="54">
                  <c:v>0.20815583974991972</c:v>
                </c:pt>
                <c:pt idx="55">
                  <c:v>0.2473920044587955</c:v>
                </c:pt>
                <c:pt idx="56">
                  <c:v>0.29066881932790922</c:v>
                </c:pt>
                <c:pt idx="57">
                  <c:v>0.33760230694202953</c:v>
                </c:pt>
                <c:pt idx="58">
                  <c:v>0.38758322378185822</c:v>
                </c:pt>
                <c:pt idx="59">
                  <c:v>0.43979475001060175</c:v>
                </c:pt>
                <c:pt idx="60">
                  <c:v>0.49325061944543724</c:v>
                </c:pt>
                <c:pt idx="61">
                  <c:v>0.54686763556616391</c:v>
                </c:pt>
                <c:pt idx="62">
                  <c:v>0.59954685067275715</c:v>
                </c:pt>
                <c:pt idx="63">
                  <c:v>0.6502632264474425</c:v>
                </c:pt>
                <c:pt idx="64">
                  <c:v>0.69813954333694794</c:v>
                </c:pt>
                <c:pt idx="65">
                  <c:v>0.74250031805266947</c:v>
                </c:pt>
                <c:pt idx="66">
                  <c:v>0.78289967104266733</c:v>
                </c:pt>
                <c:pt idx="67">
                  <c:v>0.81911345090175502</c:v>
                </c:pt>
                <c:pt idx="68">
                  <c:v>0.85111681923097871</c:v>
                </c:pt>
                <c:pt idx="69">
                  <c:v>0.87904911339032021</c:v>
                </c:pt>
                <c:pt idx="70">
                  <c:v>0.9031544766670504</c:v>
                </c:pt>
                <c:pt idx="71">
                  <c:v>0.9237703477981668</c:v>
                </c:pt>
                <c:pt idx="72">
                  <c:v>0.94125415740275153</c:v>
                </c:pt>
                <c:pt idx="73">
                  <c:v>0.95597545239205883</c:v>
                </c:pt>
                <c:pt idx="74">
                  <c:v>0.96830983782342916</c:v>
                </c:pt>
                <c:pt idx="75">
                  <c:v>0.97858445358551371</c:v>
                </c:pt>
                <c:pt idx="76">
                  <c:v>0.98712038142087744</c:v>
                </c:pt>
                <c:pt idx="77">
                  <c:v>0.99417206346513831</c:v>
                </c:pt>
                <c:pt idx="78">
                  <c:v>1</c:v>
                </c:pt>
              </c:numCache>
            </c:numRef>
          </c:xVal>
          <c:yVal>
            <c:numRef>
              <c:f>'0.89'!$I$2:$I$80</c:f>
              <c:numCache>
                <c:formatCode>General</c:formatCode>
                <c:ptCount val="79"/>
                <c:pt idx="0">
                  <c:v>-0.64742109394727265</c:v>
                </c:pt>
                <c:pt idx="1">
                  <c:v>-0.70454000822858764</c:v>
                </c:pt>
                <c:pt idx="2">
                  <c:v>-0.31159975173280235</c:v>
                </c:pt>
                <c:pt idx="3">
                  <c:v>-8.2177250615986033E-2</c:v>
                </c:pt>
                <c:pt idx="4">
                  <c:v>0.14534055270386276</c:v>
                </c:pt>
                <c:pt idx="5">
                  <c:v>0.30775292277175936</c:v>
                </c:pt>
                <c:pt idx="6">
                  <c:v>0.42698480289915525</c:v>
                </c:pt>
                <c:pt idx="7">
                  <c:v>0.54442428533090748</c:v>
                </c:pt>
                <c:pt idx="8">
                  <c:v>0.68136875398871566</c:v>
                </c:pt>
                <c:pt idx="9">
                  <c:v>0.67965342499005954</c:v>
                </c:pt>
                <c:pt idx="10">
                  <c:v>0.69484696811037849</c:v>
                </c:pt>
                <c:pt idx="11">
                  <c:v>0.69475888959953602</c:v>
                </c:pt>
                <c:pt idx="12">
                  <c:v>0.66274895679662649</c:v>
                </c:pt>
                <c:pt idx="13">
                  <c:v>0.64969572148977839</c:v>
                </c:pt>
                <c:pt idx="14">
                  <c:v>0.58135560492713778</c:v>
                </c:pt>
                <c:pt idx="15">
                  <c:v>0.52385795304920035</c:v>
                </c:pt>
                <c:pt idx="16">
                  <c:v>0.46012654456638991</c:v>
                </c:pt>
                <c:pt idx="17">
                  <c:v>0.40882961985175958</c:v>
                </c:pt>
                <c:pt idx="18">
                  <c:v>0.35587902109606223</c:v>
                </c:pt>
                <c:pt idx="19">
                  <c:v>0.3073940028400764</c:v>
                </c:pt>
                <c:pt idx="20">
                  <c:v>0.2602521818744376</c:v>
                </c:pt>
                <c:pt idx="21">
                  <c:v>0.21719720381188728</c:v>
                </c:pt>
                <c:pt idx="22">
                  <c:v>0.17767417403411823</c:v>
                </c:pt>
                <c:pt idx="23">
                  <c:v>0.1405402738629504</c:v>
                </c:pt>
                <c:pt idx="24">
                  <c:v>0.11076753523543829</c:v>
                </c:pt>
                <c:pt idx="25">
                  <c:v>7.3067730632107905E-2</c:v>
                </c:pt>
                <c:pt idx="26">
                  <c:v>4.0225455901737282E-2</c:v>
                </c:pt>
                <c:pt idx="27">
                  <c:v>1.5039405726344712E-2</c:v>
                </c:pt>
                <c:pt idx="28">
                  <c:v>-1.3431972903470387E-2</c:v>
                </c:pt>
                <c:pt idx="29">
                  <c:v>-5.753728720781659E-2</c:v>
                </c:pt>
                <c:pt idx="30">
                  <c:v>-6.2227467910175922E-2</c:v>
                </c:pt>
                <c:pt idx="31">
                  <c:v>-0.13610331887926305</c:v>
                </c:pt>
                <c:pt idx="32">
                  <c:v>-0.13559686744191909</c:v>
                </c:pt>
                <c:pt idx="33">
                  <c:v>-0.14953529178273345</c:v>
                </c:pt>
                <c:pt idx="34">
                  <c:v>-0.3692691567068826</c:v>
                </c:pt>
                <c:pt idx="35">
                  <c:v>-0.21632082262900504</c:v>
                </c:pt>
                <c:pt idx="36">
                  <c:v>-0.43530602021099357</c:v>
                </c:pt>
                <c:pt idx="37">
                  <c:v>-0.83921205130666132</c:v>
                </c:pt>
                <c:pt idx="38">
                  <c:v>2.8163103841866599E-2</c:v>
                </c:pt>
                <c:pt idx="40">
                  <c:v>-0.76870520337729709</c:v>
                </c:pt>
                <c:pt idx="41">
                  <c:v>-0.50940206745718675</c:v>
                </c:pt>
                <c:pt idx="42">
                  <c:v>-0.57715646192272507</c:v>
                </c:pt>
                <c:pt idx="43">
                  <c:v>-0.41104039047390445</c:v>
                </c:pt>
                <c:pt idx="44">
                  <c:v>-0.50781665426202305</c:v>
                </c:pt>
                <c:pt idx="45">
                  <c:v>-0.42004641820754279</c:v>
                </c:pt>
                <c:pt idx="46">
                  <c:v>-0.26060229395503609</c:v>
                </c:pt>
                <c:pt idx="47">
                  <c:v>-0.11397359303010282</c:v>
                </c:pt>
                <c:pt idx="48">
                  <c:v>-3.2787225661094106E-2</c:v>
                </c:pt>
                <c:pt idx="49">
                  <c:v>5.9961648218754569E-2</c:v>
                </c:pt>
                <c:pt idx="50">
                  <c:v>0.13014921154631498</c:v>
                </c:pt>
                <c:pt idx="51">
                  <c:v>0.19349527654418949</c:v>
                </c:pt>
                <c:pt idx="52">
                  <c:v>0.19334554307575763</c:v>
                </c:pt>
                <c:pt idx="53">
                  <c:v>0.22263605185640725</c:v>
                </c:pt>
                <c:pt idx="54">
                  <c:v>0.2572134732503738</c:v>
                </c:pt>
                <c:pt idx="55">
                  <c:v>0.25408668611546759</c:v>
                </c:pt>
                <c:pt idx="56">
                  <c:v>0.25897063954167998</c:v>
                </c:pt>
                <c:pt idx="57">
                  <c:v>0.25702190248929124</c:v>
                </c:pt>
                <c:pt idx="58">
                  <c:v>0.23967263781610398</c:v>
                </c:pt>
                <c:pt idx="59">
                  <c:v>0.22060143825594697</c:v>
                </c:pt>
                <c:pt idx="60">
                  <c:v>0.19511592114369034</c:v>
                </c:pt>
                <c:pt idx="61">
                  <c:v>0.1731359287629623</c:v>
                </c:pt>
                <c:pt idx="62">
                  <c:v>0.14791244522046176</c:v>
                </c:pt>
                <c:pt idx="63">
                  <c:v>0.12178615694182632</c:v>
                </c:pt>
                <c:pt idx="64">
                  <c:v>9.475926588982686E-2</c:v>
                </c:pt>
                <c:pt idx="65">
                  <c:v>7.0663187286109666E-2</c:v>
                </c:pt>
                <c:pt idx="66">
                  <c:v>4.830886123430099E-2</c:v>
                </c:pt>
                <c:pt idx="67">
                  <c:v>2.1755392178079903E-2</c:v>
                </c:pt>
                <c:pt idx="68">
                  <c:v>-1.6074328228743249E-3</c:v>
                </c:pt>
                <c:pt idx="69">
                  <c:v>-2.219578473229205E-2</c:v>
                </c:pt>
                <c:pt idx="70">
                  <c:v>-6.2579781953545632E-2</c:v>
                </c:pt>
                <c:pt idx="71">
                  <c:v>-7.2973046232952227E-2</c:v>
                </c:pt>
                <c:pt idx="72">
                  <c:v>-0.13277835509496136</c:v>
                </c:pt>
                <c:pt idx="73">
                  <c:v>-0.16283514691994019</c:v>
                </c:pt>
                <c:pt idx="74">
                  <c:v>-0.15272813780077149</c:v>
                </c:pt>
                <c:pt idx="75">
                  <c:v>-0.38448471945491219</c:v>
                </c:pt>
                <c:pt idx="76">
                  <c:v>-0.20956079692184865</c:v>
                </c:pt>
                <c:pt idx="77">
                  <c:v>-0.50343474834761226</c:v>
                </c:pt>
                <c:pt idx="78">
                  <c:v>-0.86120965938955785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B-4171-A34E-0516A7CA32BB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NASA_Exp.data!$H$4:$H$31</c:f>
              <c:numCache>
                <c:formatCode>General</c:formatCode>
                <c:ptCount val="28"/>
                <c:pt idx="0">
                  <c:v>0.01</c:v>
                </c:pt>
                <c:pt idx="1">
                  <c:v>0.04</c:v>
                </c:pt>
                <c:pt idx="2">
                  <c:v>0.08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0.34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0.65</c:v>
                </c:pt>
                <c:pt idx="16">
                  <c:v>0.8</c:v>
                </c:pt>
                <c:pt idx="17">
                  <c:v>0.87</c:v>
                </c:pt>
                <c:pt idx="20">
                  <c:v>0.01</c:v>
                </c:pt>
                <c:pt idx="21">
                  <c:v>0.04</c:v>
                </c:pt>
                <c:pt idx="22">
                  <c:v>0.14000000000000001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0.51</c:v>
                </c:pt>
                <c:pt idx="26">
                  <c:v>0.69</c:v>
                </c:pt>
                <c:pt idx="27">
                  <c:v>0.9</c:v>
                </c:pt>
              </c:numCache>
            </c:numRef>
          </c:xVal>
          <c:yVal>
            <c:numRef>
              <c:f>NASA_Exp.data!$I$4:$I$31</c:f>
              <c:numCache>
                <c:formatCode>General</c:formatCode>
                <c:ptCount val="28"/>
                <c:pt idx="0">
                  <c:v>0.44450000000000001</c:v>
                </c:pt>
                <c:pt idx="1">
                  <c:v>0.85350000000000004</c:v>
                </c:pt>
                <c:pt idx="2">
                  <c:v>0.91710000000000003</c:v>
                </c:pt>
                <c:pt idx="3">
                  <c:v>0.92349999999999999</c:v>
                </c:pt>
                <c:pt idx="4">
                  <c:v>1.046</c:v>
                </c:pt>
                <c:pt idx="5">
                  <c:v>1.1160000000000001</c:v>
                </c:pt>
                <c:pt idx="6">
                  <c:v>1.208</c:v>
                </c:pt>
                <c:pt idx="7">
                  <c:v>0.94720000000000004</c:v>
                </c:pt>
                <c:pt idx="8">
                  <c:v>1.127</c:v>
                </c:pt>
                <c:pt idx="9">
                  <c:v>1.0349999999999999</c:v>
                </c:pt>
                <c:pt idx="10">
                  <c:v>0.57709999999999995</c:v>
                </c:pt>
                <c:pt idx="11">
                  <c:v>0.37540000000000001</c:v>
                </c:pt>
                <c:pt idx="12">
                  <c:v>0.21110000000000001</c:v>
                </c:pt>
                <c:pt idx="13">
                  <c:v>0.13750000000000001</c:v>
                </c:pt>
                <c:pt idx="14">
                  <c:v>9.98E-2</c:v>
                </c:pt>
                <c:pt idx="15">
                  <c:v>-5.006E-2</c:v>
                </c:pt>
                <c:pt idx="16">
                  <c:v>-6.7939999999999997E-3</c:v>
                </c:pt>
                <c:pt idx="17">
                  <c:v>-7.1940000000000004E-2</c:v>
                </c:pt>
                <c:pt idx="20">
                  <c:v>-0.70269999999999999</c:v>
                </c:pt>
                <c:pt idx="21">
                  <c:v>-0.27450000000000002</c:v>
                </c:pt>
                <c:pt idx="22">
                  <c:v>0.18859999999999999</c:v>
                </c:pt>
                <c:pt idx="23">
                  <c:v>0.30349999999999999</c:v>
                </c:pt>
                <c:pt idx="24">
                  <c:v>0.25140000000000001</c:v>
                </c:pt>
                <c:pt idx="25">
                  <c:v>0.17580000000000001</c:v>
                </c:pt>
                <c:pt idx="26">
                  <c:v>-0.21929999999999999</c:v>
                </c:pt>
                <c:pt idx="27">
                  <c:v>-7.3120000000000004E-2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B-4171-A34E-0516A7CA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(96%)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2.2560536024765813E-3</c:v>
                </c:pt>
                <c:pt idx="41">
                  <c:v>5.1603288361695534E-3</c:v>
                </c:pt>
                <c:pt idx="42">
                  <c:v>9.2810798039583836E-3</c:v>
                </c:pt>
                <c:pt idx="43">
                  <c:v>1.4922425439367035E-2</c:v>
                </c:pt>
                <c:pt idx="44">
                  <c:v>2.2237031023766122E-2</c:v>
                </c:pt>
                <c:pt idx="45">
                  <c:v>3.1422997934172185E-2</c:v>
                </c:pt>
                <c:pt idx="46">
                  <c:v>4.2729315974725422E-2</c:v>
                </c:pt>
                <c:pt idx="47">
                  <c:v>5.6451622674429172E-2</c:v>
                </c:pt>
                <c:pt idx="48">
                  <c:v>7.2921298624195011E-2</c:v>
                </c:pt>
                <c:pt idx="49">
                  <c:v>9.248971629701877E-2</c:v>
                </c:pt>
                <c:pt idx="50">
                  <c:v>0.11550824816589626</c:v>
                </c:pt>
                <c:pt idx="51">
                  <c:v>0.14230161086104429</c:v>
                </c:pt>
                <c:pt idx="52">
                  <c:v>0.17313030466416665</c:v>
                </c:pt>
                <c:pt idx="53">
                  <c:v>0.20815583974991972</c:v>
                </c:pt>
                <c:pt idx="54">
                  <c:v>0.2473920044587955</c:v>
                </c:pt>
                <c:pt idx="55">
                  <c:v>0.29066881932790922</c:v>
                </c:pt>
                <c:pt idx="56">
                  <c:v>0.33760230694202953</c:v>
                </c:pt>
                <c:pt idx="57">
                  <c:v>0.38758322378185822</c:v>
                </c:pt>
                <c:pt idx="58">
                  <c:v>0.43979475001060175</c:v>
                </c:pt>
                <c:pt idx="59">
                  <c:v>0.49325061944543724</c:v>
                </c:pt>
                <c:pt idx="60">
                  <c:v>0.54686763556616391</c:v>
                </c:pt>
                <c:pt idx="61">
                  <c:v>0.59954685067275715</c:v>
                </c:pt>
                <c:pt idx="62">
                  <c:v>0.6502632264474425</c:v>
                </c:pt>
                <c:pt idx="63">
                  <c:v>0.69813954333694794</c:v>
                </c:pt>
                <c:pt idx="64">
                  <c:v>0.74250031805266947</c:v>
                </c:pt>
                <c:pt idx="65">
                  <c:v>0.78289967104266733</c:v>
                </c:pt>
                <c:pt idx="66">
                  <c:v>0.81911345090175502</c:v>
                </c:pt>
                <c:pt idx="67">
                  <c:v>0.85111681923097871</c:v>
                </c:pt>
                <c:pt idx="68">
                  <c:v>0.87904911339032021</c:v>
                </c:pt>
                <c:pt idx="69">
                  <c:v>0.9031544766670504</c:v>
                </c:pt>
                <c:pt idx="70">
                  <c:v>0.9237703477981668</c:v>
                </c:pt>
                <c:pt idx="71">
                  <c:v>0.94125415740275153</c:v>
                </c:pt>
                <c:pt idx="72">
                  <c:v>0.95597545239205883</c:v>
                </c:pt>
                <c:pt idx="73">
                  <c:v>0.96830983782342916</c:v>
                </c:pt>
                <c:pt idx="74">
                  <c:v>0.97858445358551371</c:v>
                </c:pt>
                <c:pt idx="75">
                  <c:v>0.98712038142087744</c:v>
                </c:pt>
                <c:pt idx="76">
                  <c:v>0.99417206346513831</c:v>
                </c:pt>
                <c:pt idx="77">
                  <c:v>1</c:v>
                </c:pt>
              </c:numCache>
            </c:numRef>
          </c:xVal>
          <c:yVal>
            <c:numRef>
              <c:f>'0.96'!$I$2:$I$79</c:f>
              <c:numCache>
                <c:formatCode>General</c:formatCode>
                <c:ptCount val="78"/>
                <c:pt idx="0">
                  <c:v>-0.57871954976311568</c:v>
                </c:pt>
                <c:pt idx="1">
                  <c:v>-0.62977725033061194</c:v>
                </c:pt>
                <c:pt idx="2">
                  <c:v>-0.27853412518528842</c:v>
                </c:pt>
                <c:pt idx="3">
                  <c:v>-7.3456953939049996E-2</c:v>
                </c:pt>
                <c:pt idx="4">
                  <c:v>0.129917637854957</c:v>
                </c:pt>
                <c:pt idx="5">
                  <c:v>0.27509550518176434</c:v>
                </c:pt>
                <c:pt idx="6">
                  <c:v>0.38167501059150932</c:v>
                </c:pt>
                <c:pt idx="7">
                  <c:v>0.48665231984620622</c:v>
                </c:pt>
                <c:pt idx="8">
                  <c:v>0.60906483001173128</c:v>
                </c:pt>
                <c:pt idx="9">
                  <c:v>0.60753152435475066</c:v>
                </c:pt>
                <c:pt idx="10">
                  <c:v>0.62111279397370689</c:v>
                </c:pt>
                <c:pt idx="11">
                  <c:v>0.62103406197591582</c:v>
                </c:pt>
                <c:pt idx="12">
                  <c:v>0.59242088567870332</c:v>
                </c:pt>
                <c:pt idx="13">
                  <c:v>0.58075280360606962</c:v>
                </c:pt>
                <c:pt idx="14">
                  <c:v>0.51966464651999356</c:v>
                </c:pt>
                <c:pt idx="15">
                  <c:v>0.46826839836199596</c:v>
                </c:pt>
                <c:pt idx="16">
                  <c:v>0.4112998930603366</c:v>
                </c:pt>
                <c:pt idx="17">
                  <c:v>0.36544637754682907</c:v>
                </c:pt>
                <c:pt idx="18">
                  <c:v>0.31811466877479411</c:v>
                </c:pt>
                <c:pt idx="19">
                  <c:v>0.2747746722907658</c:v>
                </c:pt>
                <c:pt idx="20">
                  <c:v>0.23263533877305095</c:v>
                </c:pt>
                <c:pt idx="21">
                  <c:v>0.19414916995284071</c:v>
                </c:pt>
                <c:pt idx="22">
                  <c:v>0.15882015424405146</c:v>
                </c:pt>
                <c:pt idx="23">
                  <c:v>0.12562674397534473</c:v>
                </c:pt>
                <c:pt idx="24">
                  <c:v>9.9013360422024826E-2</c:v>
                </c:pt>
                <c:pt idx="25">
                  <c:v>6.5314097067510665E-2</c:v>
                </c:pt>
                <c:pt idx="26">
                  <c:v>3.5956903391172759E-2</c:v>
                </c:pt>
                <c:pt idx="27">
                  <c:v>1.344348862282185E-2</c:v>
                </c:pt>
                <c:pt idx="28">
                  <c:v>-1.2006629663135182E-2</c:v>
                </c:pt>
                <c:pt idx="29">
                  <c:v>-5.1431677557003654E-2</c:v>
                </c:pt>
                <c:pt idx="30">
                  <c:v>-5.5624156439377084E-2</c:v>
                </c:pt>
                <c:pt idx="31">
                  <c:v>-0.12166061958662058</c:v>
                </c:pt>
                <c:pt idx="32">
                  <c:v>-0.12120791059932204</c:v>
                </c:pt>
                <c:pt idx="33">
                  <c:v>-0.13366724924975576</c:v>
                </c:pt>
                <c:pt idx="34">
                  <c:v>-0.33008390073897864</c:v>
                </c:pt>
                <c:pt idx="35">
                  <c:v>-0.1933657865748197</c:v>
                </c:pt>
                <c:pt idx="36">
                  <c:v>-0.38911321608281868</c:v>
                </c:pt>
                <c:pt idx="37">
                  <c:v>-0.75015847495312793</c:v>
                </c:pt>
                <c:pt idx="38">
                  <c:v>2.5174556293688356E-2</c:v>
                </c:pt>
                <c:pt idx="40">
                  <c:v>-0.68713351072139206</c:v>
                </c:pt>
                <c:pt idx="41">
                  <c:v>-0.45534650922453979</c:v>
                </c:pt>
                <c:pt idx="42">
                  <c:v>-0.51591109852530526</c:v>
                </c:pt>
                <c:pt idx="43">
                  <c:v>-0.3674225506913843</c:v>
                </c:pt>
                <c:pt idx="44">
                  <c:v>-0.4539293332643009</c:v>
                </c:pt>
                <c:pt idx="45">
                  <c:v>-0.37547289746551921</c:v>
                </c:pt>
                <c:pt idx="46">
                  <c:v>-0.23294829846427026</c:v>
                </c:pt>
                <c:pt idx="47">
                  <c:v>-0.10187920514161918</c:v>
                </c:pt>
                <c:pt idx="48">
                  <c:v>-2.9307986177718497E-2</c:v>
                </c:pt>
                <c:pt idx="49">
                  <c:v>5.3598775796202425E-2</c:v>
                </c:pt>
                <c:pt idx="50">
                  <c:v>0.11633833653594569</c:v>
                </c:pt>
                <c:pt idx="51">
                  <c:v>0.17296238934726887</c:v>
                </c:pt>
                <c:pt idx="52">
                  <c:v>0.17282854495102432</c:v>
                </c:pt>
                <c:pt idx="53">
                  <c:v>0.19901087081643806</c:v>
                </c:pt>
                <c:pt idx="54">
                  <c:v>0.22991908484925971</c:v>
                </c:pt>
                <c:pt idx="55">
                  <c:v>0.22712409892767743</c:v>
                </c:pt>
                <c:pt idx="56">
                  <c:v>0.23148978820519095</c:v>
                </c:pt>
                <c:pt idx="57">
                  <c:v>0.22974784275406396</c:v>
                </c:pt>
                <c:pt idx="58">
                  <c:v>0.21423960748917192</c:v>
                </c:pt>
                <c:pt idx="59">
                  <c:v>0.19719216166746464</c:v>
                </c:pt>
                <c:pt idx="60">
                  <c:v>0.17441105810662433</c:v>
                </c:pt>
                <c:pt idx="61">
                  <c:v>0.15476348805786777</c:v>
                </c:pt>
                <c:pt idx="62">
                  <c:v>0.13221661219045572</c:v>
                </c:pt>
                <c:pt idx="63">
                  <c:v>0.1088627333456854</c:v>
                </c:pt>
                <c:pt idx="64">
                  <c:v>8.4703819823501419E-2</c:v>
                </c:pt>
                <c:pt idx="65">
                  <c:v>6.3164713527815053E-2</c:v>
                </c:pt>
                <c:pt idx="66">
                  <c:v>4.3182532488446237E-2</c:v>
                </c:pt>
                <c:pt idx="67">
                  <c:v>1.9446803454389441E-2</c:v>
                </c:pt>
                <c:pt idx="68">
                  <c:v>-1.4368589596866692E-3</c:v>
                </c:pt>
                <c:pt idx="69">
                  <c:v>-1.9840463443344693E-2</c:v>
                </c:pt>
                <c:pt idx="70">
                  <c:v>-5.5939084430541283E-2</c:v>
                </c:pt>
                <c:pt idx="71">
                  <c:v>-6.5229460169885234E-2</c:v>
                </c:pt>
                <c:pt idx="72">
                  <c:v>-0.11868848667000843</c:v>
                </c:pt>
                <c:pt idx="73">
                  <c:v>-0.14555578091620436</c:v>
                </c:pt>
                <c:pt idx="74">
                  <c:v>-0.13652128416968135</c:v>
                </c:pt>
                <c:pt idx="75">
                  <c:v>-0.34368485335738264</c:v>
                </c:pt>
                <c:pt idx="76">
                  <c:v>-0.18732310574435659</c:v>
                </c:pt>
                <c:pt idx="77">
                  <c:v>-0.45001241637419614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B-4DBB-88B5-17A86F273A4E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NASA_Exp.data!$J$4:$J$31</c:f>
              <c:numCache>
                <c:formatCode>General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0.15</c:v>
                </c:pt>
                <c:pt idx="5">
                  <c:v>0.19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0.49</c:v>
                </c:pt>
                <c:pt idx="11">
                  <c:v>0.51</c:v>
                </c:pt>
                <c:pt idx="12">
                  <c:v>0.61</c:v>
                </c:pt>
                <c:pt idx="13">
                  <c:v>0.76</c:v>
                </c:pt>
                <c:pt idx="14">
                  <c:v>0.9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0.33</c:v>
                </c:pt>
                <c:pt idx="24">
                  <c:v>0.39</c:v>
                </c:pt>
                <c:pt idx="25">
                  <c:v>0.43</c:v>
                </c:pt>
                <c:pt idx="26">
                  <c:v>0.74</c:v>
                </c:pt>
                <c:pt idx="27">
                  <c:v>0.85</c:v>
                </c:pt>
              </c:numCache>
            </c:numRef>
          </c:xVal>
          <c:yVal>
            <c:numRef>
              <c:f>NASA_Exp.data!$K$4:$K$31</c:f>
              <c:numCache>
                <c:formatCode>General</c:formatCode>
                <c:ptCount val="28"/>
                <c:pt idx="0">
                  <c:v>-1.0920000000000001</c:v>
                </c:pt>
                <c:pt idx="1">
                  <c:v>0.49940000000000001</c:v>
                </c:pt>
                <c:pt idx="2">
                  <c:v>0.8911</c:v>
                </c:pt>
                <c:pt idx="3">
                  <c:v>0.97719999999999996</c:v>
                </c:pt>
                <c:pt idx="4">
                  <c:v>1.0620000000000001</c:v>
                </c:pt>
                <c:pt idx="5">
                  <c:v>1.028</c:v>
                </c:pt>
                <c:pt idx="6">
                  <c:v>1.0820000000000001</c:v>
                </c:pt>
                <c:pt idx="7">
                  <c:v>0.66059999999999997</c:v>
                </c:pt>
                <c:pt idx="8">
                  <c:v>0.22370000000000001</c:v>
                </c:pt>
                <c:pt idx="9">
                  <c:v>0.19470000000000001</c:v>
                </c:pt>
                <c:pt idx="10">
                  <c:v>0.1394</c:v>
                </c:pt>
                <c:pt idx="11">
                  <c:v>0.1174</c:v>
                </c:pt>
                <c:pt idx="12">
                  <c:v>0.65269999999999995</c:v>
                </c:pt>
                <c:pt idx="13">
                  <c:v>0.65269999999999995</c:v>
                </c:pt>
                <c:pt idx="14">
                  <c:v>-6.0740000000000002E-2</c:v>
                </c:pt>
                <c:pt idx="20">
                  <c:v>-1.1140000000000001</c:v>
                </c:pt>
                <c:pt idx="21">
                  <c:v>-8.7739999999999999E-2</c:v>
                </c:pt>
                <c:pt idx="22">
                  <c:v>0.2487</c:v>
                </c:pt>
                <c:pt idx="23">
                  <c:v>0.32379999999999998</c:v>
                </c:pt>
                <c:pt idx="24">
                  <c:v>0.25580000000000003</c:v>
                </c:pt>
                <c:pt idx="25">
                  <c:v>0.17580000000000001</c:v>
                </c:pt>
                <c:pt idx="26">
                  <c:v>6.4399999999999999E-2</c:v>
                </c:pt>
                <c:pt idx="27">
                  <c:v>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B-4DBB-88B5-17A86F27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1</xdr:row>
      <xdr:rowOff>19050</xdr:rowOff>
    </xdr:from>
    <xdr:to>
      <xdr:col>7</xdr:col>
      <xdr:colOff>661988</xdr:colOff>
      <xdr:row>14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499E20-B0C8-49D9-BC9B-B5346F5F4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685799</xdr:colOff>
      <xdr:row>15</xdr:row>
      <xdr:rowOff>47624</xdr:rowOff>
    </xdr:from>
    <xdr:to>
      <xdr:col>7</xdr:col>
      <xdr:colOff>676274</xdr:colOff>
      <xdr:row>28</xdr:row>
      <xdr:rowOff>152399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1D9434B-5BF6-4682-90D5-861528EEB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1</xdr:row>
      <xdr:rowOff>53340</xdr:rowOff>
    </xdr:from>
    <xdr:to>
      <xdr:col>14</xdr:col>
      <xdr:colOff>666750</xdr:colOff>
      <xdr:row>14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9CCE67F-3518-4F1D-BE3B-511D0D58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15</xdr:row>
      <xdr:rowOff>66675</xdr:rowOff>
    </xdr:from>
    <xdr:to>
      <xdr:col>14</xdr:col>
      <xdr:colOff>660400</xdr:colOff>
      <xdr:row>28</xdr:row>
      <xdr:rowOff>161925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0E3568C-1FE8-4AD7-9DAE-F6B7794E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85725</xdr:colOff>
      <xdr:row>15</xdr:row>
      <xdr:rowOff>66675</xdr:rowOff>
    </xdr:from>
    <xdr:to>
      <xdr:col>21</xdr:col>
      <xdr:colOff>654050</xdr:colOff>
      <xdr:row>28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FC72E05-4C99-4986-883F-B6E24BC8F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</xdr:colOff>
      <xdr:row>2</xdr:row>
      <xdr:rowOff>38099</xdr:rowOff>
    </xdr:from>
    <xdr:to>
      <xdr:col>18</xdr:col>
      <xdr:colOff>38100</xdr:colOff>
      <xdr:row>15</xdr:row>
      <xdr:rowOff>180974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DE82345-44ED-4EE5-5EA1-E3DE76CF1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3</xdr:row>
      <xdr:rowOff>19050</xdr:rowOff>
    </xdr:from>
    <xdr:to>
      <xdr:col>17</xdr:col>
      <xdr:colOff>447675</xdr:colOff>
      <xdr:row>16</xdr:row>
      <xdr:rowOff>38100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8CD5C7-1F47-ECD5-20D1-0B7D1D8DD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2</xdr:row>
      <xdr:rowOff>200025</xdr:rowOff>
    </xdr:from>
    <xdr:to>
      <xdr:col>18</xdr:col>
      <xdr:colOff>671512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07F4D85-05AF-203F-B37C-023BADC73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290512</xdr:colOff>
      <xdr:row>4</xdr:row>
      <xdr:rowOff>161925</xdr:rowOff>
    </xdr:from>
    <xdr:to>
      <xdr:col>19</xdr:col>
      <xdr:colOff>61912</xdr:colOff>
      <xdr:row>17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C694DF4-10EC-6945-8DD1-949AF3911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18</xdr:col>
      <xdr:colOff>457200</xdr:colOff>
      <xdr:row>16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3CDD65E-5A88-4126-9CCF-D55413039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A93B-E59D-4734-AEB2-DCFDC9E63C39}">
  <dimension ref="A1:T80"/>
  <sheetViews>
    <sheetView workbookViewId="0">
      <selection activeCell="T2" sqref="T2"/>
    </sheetView>
  </sheetViews>
  <sheetFormatPr defaultRowHeight="16.5" x14ac:dyDescent="0.3"/>
  <cols>
    <col min="2" max="3" width="9" style="1"/>
    <col min="9" max="9" width="9" style="1"/>
  </cols>
  <sheetData>
    <row r="1" spans="1:20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</row>
    <row r="2" spans="1:20" x14ac:dyDescent="0.3">
      <c r="A2">
        <v>2</v>
      </c>
      <c r="B2" s="1">
        <v>0.122784</v>
      </c>
      <c r="C2" s="1">
        <v>122597</v>
      </c>
      <c r="E2">
        <f>MIN(B:B)</f>
        <v>-4.1283E-2</v>
      </c>
      <c r="F2">
        <f>E3-E2</f>
        <v>0.16506700000000002</v>
      </c>
      <c r="H2">
        <f>(B2-$E$2)/$F$2</f>
        <v>0.99394185391386525</v>
      </c>
      <c r="I2" s="1">
        <f>(Equation_Sheet!$B$2-'0.5'!C2)/'0.5'!$T$2</f>
        <v>-1.0339246627467251</v>
      </c>
      <c r="R2">
        <f>1.4*0.5</f>
        <v>0.7</v>
      </c>
      <c r="S2">
        <f>R2*Equation_Sheet!$D$2</f>
        <v>183.25957145940458</v>
      </c>
      <c r="T2">
        <f>(Equation_Sheet!$E$2*'0.5'!S2^2)/2</f>
        <v>20574.032873428889</v>
      </c>
    </row>
    <row r="3" spans="1:20" x14ac:dyDescent="0.3">
      <c r="A3">
        <v>2</v>
      </c>
      <c r="B3" s="1">
        <v>0.121572</v>
      </c>
      <c r="C3" s="1">
        <v>114527</v>
      </c>
      <c r="E3">
        <f>MAX(B:B)</f>
        <v>0.12378400000000001</v>
      </c>
      <c r="H3">
        <f t="shared" ref="H3:H66" si="0">(B3-$E$2)/$F$2</f>
        <v>0.9865993808574699</v>
      </c>
      <c r="I3" s="1">
        <f>(Equation_Sheet!$B$2-'0.5'!C3)/'0.5'!$T$2</f>
        <v>-0.64168265313944461</v>
      </c>
    </row>
    <row r="4" spans="1:20" x14ac:dyDescent="0.3">
      <c r="A4">
        <v>2</v>
      </c>
      <c r="B4" s="1">
        <v>0.12010800000000001</v>
      </c>
      <c r="C4" s="1">
        <v>103040</v>
      </c>
      <c r="H4">
        <f t="shared" si="0"/>
        <v>0.97773025498736865</v>
      </c>
      <c r="I4" s="1">
        <f>(Equation_Sheet!$B$2-'0.5'!C4)/'0.5'!$T$2</f>
        <v>-8.3357502661274618E-2</v>
      </c>
    </row>
    <row r="5" spans="1:20" x14ac:dyDescent="0.3">
      <c r="A5">
        <v>2</v>
      </c>
      <c r="B5" s="1">
        <v>0.118344</v>
      </c>
      <c r="C5" s="1">
        <v>110365</v>
      </c>
      <c r="H5">
        <f t="shared" si="0"/>
        <v>0.96704368529142715</v>
      </c>
      <c r="I5" s="1">
        <f>(Equation_Sheet!$B$2-'0.5'!C5)/'0.5'!$T$2</f>
        <v>-0.43938881869266622</v>
      </c>
    </row>
    <row r="6" spans="1:20" x14ac:dyDescent="0.3">
      <c r="A6">
        <v>2</v>
      </c>
      <c r="B6" s="1">
        <v>0.11623</v>
      </c>
      <c r="C6" s="1">
        <v>104171</v>
      </c>
      <c r="H6">
        <f t="shared" si="0"/>
        <v>0.95423676446533834</v>
      </c>
      <c r="I6" s="1">
        <f>(Equation_Sheet!$B$2-'0.5'!C6)/'0.5'!$T$2</f>
        <v>-0.13832970995567787</v>
      </c>
    </row>
    <row r="7" spans="1:20" x14ac:dyDescent="0.3">
      <c r="A7">
        <v>2</v>
      </c>
      <c r="B7" s="1">
        <v>0.113707</v>
      </c>
      <c r="C7" s="1">
        <v>103119</v>
      </c>
      <c r="H7">
        <f t="shared" si="0"/>
        <v>0.93895206189002045</v>
      </c>
      <c r="I7" s="1">
        <f>(Equation_Sheet!$B$2-'0.5'!C7)/'0.5'!$T$2</f>
        <v>-8.7197294329053446E-2</v>
      </c>
    </row>
    <row r="8" spans="1:20" x14ac:dyDescent="0.3">
      <c r="A8">
        <v>2</v>
      </c>
      <c r="B8" s="1">
        <v>0.11071300000000001</v>
      </c>
      <c r="C8" s="1">
        <v>103939</v>
      </c>
      <c r="H8">
        <f t="shared" si="0"/>
        <v>0.92081397250813313</v>
      </c>
      <c r="I8" s="1">
        <f>(Equation_Sheet!$B$2-'0.5'!C8)/'0.5'!$T$2</f>
        <v>-0.1270533597414413</v>
      </c>
    </row>
    <row r="9" spans="1:20" x14ac:dyDescent="0.3">
      <c r="A9">
        <v>2</v>
      </c>
      <c r="B9" s="1">
        <v>0.107186</v>
      </c>
      <c r="C9" s="1">
        <v>101858</v>
      </c>
      <c r="H9">
        <f t="shared" si="0"/>
        <v>0.8994468912623359</v>
      </c>
      <c r="I9" s="1">
        <f>(Equation_Sheet!$B$2-'0.5'!C9)/'0.5'!$T$2</f>
        <v>-2.590644251805211E-2</v>
      </c>
    </row>
    <row r="10" spans="1:20" x14ac:dyDescent="0.3">
      <c r="A10">
        <v>2</v>
      </c>
      <c r="B10" s="1">
        <v>0.103065</v>
      </c>
      <c r="C10" s="1">
        <v>102535</v>
      </c>
      <c r="H10">
        <f t="shared" si="0"/>
        <v>0.87448127124137465</v>
      </c>
      <c r="I10" s="1">
        <f>(Equation_Sheet!$B$2-'0.5'!C10)/'0.5'!$T$2</f>
        <v>-5.8811998962182088E-2</v>
      </c>
    </row>
    <row r="11" spans="1:20" x14ac:dyDescent="0.3">
      <c r="A11">
        <v>2</v>
      </c>
      <c r="B11" s="1">
        <v>9.8296599999999998E-2</v>
      </c>
      <c r="C11" s="1">
        <v>101923</v>
      </c>
      <c r="H11">
        <f t="shared" si="0"/>
        <v>0.84559360744424983</v>
      </c>
      <c r="I11" s="1">
        <f>(Equation_Sheet!$B$2-'0.5'!C11)/'0.5'!$T$2</f>
        <v>-2.9065764776351147E-2</v>
      </c>
    </row>
    <row r="12" spans="1:20" x14ac:dyDescent="0.3">
      <c r="A12">
        <v>2</v>
      </c>
      <c r="B12" s="1">
        <v>9.2838599999999993E-2</v>
      </c>
      <c r="C12" s="1">
        <v>101084</v>
      </c>
      <c r="H12">
        <f t="shared" si="0"/>
        <v>0.81252824610612651</v>
      </c>
      <c r="I12" s="1">
        <f>(Equation_Sheet!$B$2-'0.5'!C12)/'0.5'!$T$2</f>
        <v>1.1713794834616433E-2</v>
      </c>
    </row>
    <row r="13" spans="1:20" x14ac:dyDescent="0.3">
      <c r="A13">
        <v>2</v>
      </c>
      <c r="B13" s="1">
        <v>8.6670899999999995E-2</v>
      </c>
      <c r="C13" s="1">
        <v>101060</v>
      </c>
      <c r="H13">
        <f t="shared" si="0"/>
        <v>0.77516341849067349</v>
      </c>
      <c r="I13" s="1">
        <f>(Equation_Sheet!$B$2-'0.5'!C13)/'0.5'!$T$2</f>
        <v>1.2880313822296078E-2</v>
      </c>
    </row>
    <row r="14" spans="1:20" x14ac:dyDescent="0.3">
      <c r="A14">
        <v>2</v>
      </c>
      <c r="B14" s="1">
        <v>7.9800399999999994E-2</v>
      </c>
      <c r="C14" s="1">
        <v>100327</v>
      </c>
      <c r="H14">
        <f t="shared" si="0"/>
        <v>0.73354092580588481</v>
      </c>
      <c r="I14" s="1">
        <f>(Equation_Sheet!$B$2-'0.5'!C14)/'0.5'!$T$2</f>
        <v>4.8507747904345228E-2</v>
      </c>
    </row>
    <row r="15" spans="1:20" x14ac:dyDescent="0.3">
      <c r="A15">
        <v>2</v>
      </c>
      <c r="B15" s="1">
        <v>7.2268399999999997E-2</v>
      </c>
      <c r="C15" s="1">
        <v>99893.9</v>
      </c>
      <c r="H15">
        <f t="shared" si="0"/>
        <v>0.6879109694851181</v>
      </c>
      <c r="I15" s="1">
        <f>(Equation_Sheet!$B$2-'0.5'!C15)/'0.5'!$T$2</f>
        <v>6.9558555136181102E-2</v>
      </c>
    </row>
    <row r="16" spans="1:20" x14ac:dyDescent="0.3">
      <c r="A16">
        <v>2</v>
      </c>
      <c r="B16" s="1">
        <v>6.4154799999999998E-2</v>
      </c>
      <c r="C16" s="1">
        <v>99428.4</v>
      </c>
      <c r="H16">
        <f t="shared" si="0"/>
        <v>0.63875759540065535</v>
      </c>
      <c r="I16" s="1">
        <f>(Equation_Sheet!$B$2-'0.5'!C16)/'0.5'!$T$2</f>
        <v>9.2184163001384212E-2</v>
      </c>
    </row>
    <row r="17" spans="1:9" x14ac:dyDescent="0.3">
      <c r="A17">
        <v>2</v>
      </c>
      <c r="B17" s="1">
        <v>5.5578200000000001E-2</v>
      </c>
      <c r="C17" s="1">
        <v>98901</v>
      </c>
      <c r="H17">
        <f t="shared" si="0"/>
        <v>0.58679929967831246</v>
      </c>
      <c r="I17" s="1">
        <f>(Equation_Sheet!$B$2-'0.5'!C17)/'0.5'!$T$2</f>
        <v>0.11781841775564413</v>
      </c>
    </row>
    <row r="18" spans="1:9" x14ac:dyDescent="0.3">
      <c r="A18">
        <v>2</v>
      </c>
      <c r="B18" s="1">
        <v>4.6691799999999999E-2</v>
      </c>
      <c r="C18" s="1">
        <v>98506.4</v>
      </c>
      <c r="H18">
        <f t="shared" si="0"/>
        <v>0.53296419029848474</v>
      </c>
      <c r="I18" s="1">
        <f>(Equation_Sheet!$B$2-'0.5'!C18)/'0.5'!$T$2</f>
        <v>0.13699793411141056</v>
      </c>
    </row>
    <row r="19" spans="1:9" x14ac:dyDescent="0.3">
      <c r="A19">
        <v>2</v>
      </c>
      <c r="B19" s="1">
        <v>3.76738E-2</v>
      </c>
      <c r="C19" s="1">
        <v>98033.4</v>
      </c>
      <c r="H19">
        <f t="shared" si="0"/>
        <v>0.47833182889372183</v>
      </c>
      <c r="I19" s="1">
        <f>(Equation_Sheet!$B$2-'0.5'!C19)/'0.5'!$T$2</f>
        <v>0.15998807916026356</v>
      </c>
    </row>
    <row r="20" spans="1:9" x14ac:dyDescent="0.3">
      <c r="A20">
        <v>2</v>
      </c>
      <c r="B20" s="1">
        <v>2.8714E-2</v>
      </c>
      <c r="C20" s="1">
        <v>97568.8</v>
      </c>
      <c r="H20">
        <f t="shared" si="0"/>
        <v>0.42405205159117204</v>
      </c>
      <c r="I20" s="1">
        <f>(Equation_Sheet!$B$2-'0.5'!C20)/'0.5'!$T$2</f>
        <v>0.18256994256342826</v>
      </c>
    </row>
    <row r="21" spans="1:9" x14ac:dyDescent="0.3">
      <c r="A21">
        <v>2</v>
      </c>
      <c r="B21" s="1">
        <v>1.9998499999999999E-2</v>
      </c>
      <c r="C21" s="1">
        <v>97206.8</v>
      </c>
      <c r="H21">
        <f t="shared" si="0"/>
        <v>0.37125227937746486</v>
      </c>
      <c r="I21" s="1">
        <f>(Equation_Sheet!$B$2-'0.5'!C21)/'0.5'!$T$2</f>
        <v>0.20016493729426291</v>
      </c>
    </row>
    <row r="22" spans="1:9" x14ac:dyDescent="0.3">
      <c r="A22">
        <v>2</v>
      </c>
      <c r="B22" s="1">
        <v>1.1694700000000001E-2</v>
      </c>
      <c r="C22" s="1">
        <v>96922</v>
      </c>
      <c r="H22">
        <f t="shared" si="0"/>
        <v>0.32094664590741939</v>
      </c>
      <c r="I22" s="1">
        <f>(Equation_Sheet!$B$2-'0.5'!C22)/'0.5'!$T$2</f>
        <v>0.21400762928139483</v>
      </c>
    </row>
    <row r="23" spans="1:9" x14ac:dyDescent="0.3">
      <c r="A23">
        <v>2</v>
      </c>
      <c r="B23" s="1">
        <v>3.9396300000000004E-3</v>
      </c>
      <c r="C23" s="1">
        <v>96441.8</v>
      </c>
      <c r="H23">
        <f t="shared" si="0"/>
        <v>0.27396529893921856</v>
      </c>
      <c r="I23" s="1">
        <f>(Equation_Sheet!$B$2-'0.5'!C23)/'0.5'!$T$2</f>
        <v>0.23734773002655157</v>
      </c>
    </row>
    <row r="24" spans="1:9" x14ac:dyDescent="0.3">
      <c r="A24">
        <v>2</v>
      </c>
      <c r="B24" s="1">
        <v>-3.1673000000000001E-3</v>
      </c>
      <c r="C24" s="1">
        <v>96536.7</v>
      </c>
      <c r="H24">
        <f t="shared" si="0"/>
        <v>0.23091047877528517</v>
      </c>
      <c r="I24" s="1">
        <f>(Equation_Sheet!$B$2-'0.5'!C24)/'0.5'!$T$2</f>
        <v>0.23273511952943526</v>
      </c>
    </row>
    <row r="25" spans="1:9" x14ac:dyDescent="0.3">
      <c r="A25">
        <v>2</v>
      </c>
      <c r="B25" s="1">
        <v>-9.5662899999999999E-3</v>
      </c>
      <c r="C25" s="1">
        <v>96392.8</v>
      </c>
      <c r="H25">
        <f t="shared" si="0"/>
        <v>0.19214446255156997</v>
      </c>
      <c r="I25" s="1">
        <f>(Equation_Sheet!$B$2-'0.5'!C25)/'0.5'!$T$2</f>
        <v>0.23972937295973085</v>
      </c>
    </row>
    <row r="26" spans="1:9" x14ac:dyDescent="0.3">
      <c r="A26">
        <v>2</v>
      </c>
      <c r="B26" s="1">
        <v>-1.52348E-2</v>
      </c>
      <c r="C26" s="1">
        <v>96628.1</v>
      </c>
      <c r="H26">
        <f t="shared" si="0"/>
        <v>0.15780380088085444</v>
      </c>
      <c r="I26" s="1">
        <f>(Equation_Sheet!$B$2-'0.5'!C26)/'0.5'!$T$2</f>
        <v>0.2282926263846882</v>
      </c>
    </row>
    <row r="27" spans="1:9" x14ac:dyDescent="0.3">
      <c r="A27">
        <v>2</v>
      </c>
      <c r="B27" s="1">
        <v>-2.0181899999999999E-2</v>
      </c>
      <c r="C27" s="1">
        <v>96570.6</v>
      </c>
      <c r="H27">
        <f t="shared" si="0"/>
        <v>0.12783354637813735</v>
      </c>
      <c r="I27" s="1">
        <f>(Equation_Sheet!$B$2-'0.5'!C27)/'0.5'!$T$2</f>
        <v>0.23108741145933734</v>
      </c>
    </row>
    <row r="28" spans="1:9" x14ac:dyDescent="0.3">
      <c r="A28">
        <v>2</v>
      </c>
      <c r="B28" s="1">
        <v>-2.44406E-2</v>
      </c>
      <c r="C28" s="1">
        <v>96878.2</v>
      </c>
      <c r="H28">
        <f t="shared" si="0"/>
        <v>0.10203371964111542</v>
      </c>
      <c r="I28" s="1">
        <f>(Equation_Sheet!$B$2-'0.5'!C28)/'0.5'!$T$2</f>
        <v>0.21613652643391032</v>
      </c>
    </row>
    <row r="29" spans="1:9" x14ac:dyDescent="0.3">
      <c r="A29">
        <v>2</v>
      </c>
      <c r="B29" s="1">
        <v>-2.8060600000000002E-2</v>
      </c>
      <c r="C29" s="1">
        <v>97818.2</v>
      </c>
      <c r="H29">
        <f t="shared" si="0"/>
        <v>8.0103230809307716E-2</v>
      </c>
      <c r="I29" s="1">
        <f>(Equation_Sheet!$B$2-'0.5'!C29)/'0.5'!$T$2</f>
        <v>0.17044786608312423</v>
      </c>
    </row>
    <row r="30" spans="1:9" x14ac:dyDescent="0.3">
      <c r="A30">
        <v>2</v>
      </c>
      <c r="B30" s="1">
        <v>-3.1100800000000001E-2</v>
      </c>
      <c r="C30" s="1">
        <v>97952.5</v>
      </c>
      <c r="H30">
        <f t="shared" si="0"/>
        <v>6.1685255078240943E-2</v>
      </c>
      <c r="I30" s="1">
        <f>(Equation_Sheet!$B$2-'0.5'!C30)/'0.5'!$T$2</f>
        <v>0.16392022024790007</v>
      </c>
    </row>
    <row r="31" spans="1:9" x14ac:dyDescent="0.3">
      <c r="A31">
        <v>2</v>
      </c>
      <c r="B31" s="1">
        <v>-3.3623399999999998E-2</v>
      </c>
      <c r="C31" s="1">
        <v>100302</v>
      </c>
      <c r="H31">
        <f t="shared" si="0"/>
        <v>4.6402975761357518E-2</v>
      </c>
      <c r="I31" s="1">
        <f>(Equation_Sheet!$B$2-'0.5'!C31)/'0.5'!$T$2</f>
        <v>4.9722871849844856E-2</v>
      </c>
    </row>
    <row r="32" spans="1:9" x14ac:dyDescent="0.3">
      <c r="A32">
        <v>2</v>
      </c>
      <c r="B32" s="1">
        <v>-3.5689600000000002E-2</v>
      </c>
      <c r="C32" s="1">
        <v>100389</v>
      </c>
      <c r="H32">
        <f t="shared" si="0"/>
        <v>3.3885634318185934E-2</v>
      </c>
      <c r="I32" s="1">
        <f>(Equation_Sheet!$B$2-'0.5'!C32)/'0.5'!$T$2</f>
        <v>4.5494240519506145E-2</v>
      </c>
    </row>
    <row r="33" spans="1:9" x14ac:dyDescent="0.3">
      <c r="A33">
        <v>2</v>
      </c>
      <c r="B33" s="1">
        <v>-3.7356300000000002E-2</v>
      </c>
      <c r="C33" s="1">
        <v>103549</v>
      </c>
      <c r="H33">
        <f t="shared" si="0"/>
        <v>2.3788522236425195E-2</v>
      </c>
      <c r="I33" s="1">
        <f>(Equation_Sheet!$B$2-'0.5'!C33)/'0.5'!$T$2</f>
        <v>-0.10809742619164708</v>
      </c>
    </row>
    <row r="34" spans="1:9" x14ac:dyDescent="0.3">
      <c r="A34">
        <v>2</v>
      </c>
      <c r="B34" s="1">
        <v>-3.86735E-2</v>
      </c>
      <c r="C34" s="1">
        <v>106771</v>
      </c>
      <c r="H34">
        <f t="shared" si="0"/>
        <v>1.5808732211768557E-2</v>
      </c>
      <c r="I34" s="1">
        <f>(Equation_Sheet!$B$2-'0.5'!C34)/'0.5'!$T$2</f>
        <v>-0.26470260028763937</v>
      </c>
    </row>
    <row r="35" spans="1:9" x14ac:dyDescent="0.3">
      <c r="A35">
        <v>2</v>
      </c>
      <c r="B35" s="1">
        <v>-3.9683499999999997E-2</v>
      </c>
      <c r="C35" s="1">
        <v>108646</v>
      </c>
      <c r="H35">
        <f t="shared" si="0"/>
        <v>9.6900046647725082E-3</v>
      </c>
      <c r="I35" s="1">
        <f>(Equation_Sheet!$B$2-'0.5'!C35)/'0.5'!$T$2</f>
        <v>-0.35583689620011166</v>
      </c>
    </row>
    <row r="36" spans="1:9" x14ac:dyDescent="0.3">
      <c r="A36">
        <v>2</v>
      </c>
      <c r="B36" s="1">
        <v>-4.0419900000000002E-2</v>
      </c>
      <c r="C36" s="1">
        <v>113089</v>
      </c>
      <c r="H36">
        <f t="shared" si="0"/>
        <v>5.2287858869428687E-3</v>
      </c>
      <c r="I36" s="1">
        <f>(Equation_Sheet!$B$2-'0.5'!C36)/'0.5'!$T$2</f>
        <v>-0.5717887237943059</v>
      </c>
    </row>
    <row r="37" spans="1:9" x14ac:dyDescent="0.3">
      <c r="A37">
        <v>2</v>
      </c>
      <c r="B37" s="1">
        <v>-4.0884499999999997E-2</v>
      </c>
      <c r="C37" s="1">
        <v>108012</v>
      </c>
      <c r="H37">
        <f t="shared" si="0"/>
        <v>2.4141712153247044E-3</v>
      </c>
      <c r="I37" s="1">
        <f>(Equation_Sheet!$B$2-'0.5'!C37)/'0.5'!$T$2</f>
        <v>-0.32502135294224099</v>
      </c>
    </row>
    <row r="38" spans="1:9" x14ac:dyDescent="0.3">
      <c r="A38">
        <v>2</v>
      </c>
      <c r="B38" s="1">
        <v>-4.1144699999999999E-2</v>
      </c>
      <c r="C38" s="1">
        <v>107637</v>
      </c>
      <c r="H38">
        <f t="shared" si="0"/>
        <v>8.3784160371243744E-4</v>
      </c>
      <c r="I38" s="1">
        <f>(Equation_Sheet!$B$2-'0.5'!C38)/'0.5'!$T$2</f>
        <v>-0.30679449375974654</v>
      </c>
    </row>
    <row r="39" spans="1:9" x14ac:dyDescent="0.3">
      <c r="A39">
        <v>2</v>
      </c>
      <c r="B39" s="1">
        <v>-4.1261199999999998E-2</v>
      </c>
      <c r="C39" s="1">
        <v>111901</v>
      </c>
      <c r="H39">
        <f t="shared" si="0"/>
        <v>1.3206758467775129E-4</v>
      </c>
      <c r="I39" s="1">
        <f>(Equation_Sheet!$B$2-'0.5'!C39)/'0.5'!$T$2</f>
        <v>-0.51404603390416348</v>
      </c>
    </row>
    <row r="40" spans="1:9" x14ac:dyDescent="0.3">
      <c r="A40">
        <v>2</v>
      </c>
      <c r="B40" s="1">
        <v>-4.1283E-2</v>
      </c>
      <c r="C40" s="1">
        <v>108952</v>
      </c>
      <c r="H40">
        <f t="shared" si="0"/>
        <v>0</v>
      </c>
      <c r="I40" s="1">
        <f>(Equation_Sheet!$B$2-'0.5'!C40)/'0.5'!$T$2</f>
        <v>-0.37071001329302711</v>
      </c>
    </row>
    <row r="42" spans="1:9" x14ac:dyDescent="0.3">
      <c r="A42">
        <v>1</v>
      </c>
      <c r="B42" s="1">
        <v>0.12378400000000001</v>
      </c>
      <c r="C42" s="1">
        <v>99798.7</v>
      </c>
      <c r="H42">
        <f t="shared" si="0"/>
        <v>1</v>
      </c>
      <c r="I42" s="1">
        <f>(Equation_Sheet!$B$2-'0.5'!C42)/'0.5'!$T$2</f>
        <v>7.4185747120643547E-2</v>
      </c>
    </row>
    <row r="43" spans="1:9" x14ac:dyDescent="0.3">
      <c r="A43">
        <v>1</v>
      </c>
      <c r="B43" s="1">
        <v>0.122822</v>
      </c>
      <c r="C43" s="1">
        <v>120487</v>
      </c>
      <c r="H43">
        <f t="shared" si="0"/>
        <v>0.99417206346513831</v>
      </c>
      <c r="I43" s="1">
        <f>(Equation_Sheet!$B$2-'0.5'!C43)/'0.5'!$T$2</f>
        <v>-0.93136820174655632</v>
      </c>
    </row>
    <row r="44" spans="1:9" x14ac:dyDescent="0.3">
      <c r="A44">
        <v>1</v>
      </c>
      <c r="B44" s="1">
        <v>0.121658</v>
      </c>
      <c r="C44" s="1">
        <v>114743</v>
      </c>
      <c r="H44">
        <f t="shared" si="0"/>
        <v>0.98712038142087744</v>
      </c>
      <c r="I44" s="1">
        <f>(Equation_Sheet!$B$2-'0.5'!C44)/'0.5'!$T$2</f>
        <v>-0.65218132402856144</v>
      </c>
    </row>
    <row r="45" spans="1:9" x14ac:dyDescent="0.3">
      <c r="A45">
        <v>1</v>
      </c>
      <c r="B45" s="1">
        <v>0.12024899999999999</v>
      </c>
      <c r="C45" s="1">
        <v>102133</v>
      </c>
      <c r="H45">
        <f t="shared" si="0"/>
        <v>0.97858445358551371</v>
      </c>
      <c r="I45" s="1">
        <f>(Equation_Sheet!$B$2-'0.5'!C45)/'0.5'!$T$2</f>
        <v>-3.9272805918548037E-2</v>
      </c>
    </row>
    <row r="46" spans="1:9" x14ac:dyDescent="0.3">
      <c r="A46">
        <v>1</v>
      </c>
      <c r="B46" s="1">
        <v>0.11855300000000001</v>
      </c>
      <c r="C46" s="1">
        <v>109905</v>
      </c>
      <c r="H46">
        <f t="shared" si="0"/>
        <v>0.96830983782342916</v>
      </c>
      <c r="I46" s="1">
        <f>(Equation_Sheet!$B$2-'0.5'!C46)/'0.5'!$T$2</f>
        <v>-0.41703053809547302</v>
      </c>
    </row>
    <row r="47" spans="1:9" x14ac:dyDescent="0.3">
      <c r="A47">
        <v>1</v>
      </c>
      <c r="B47" s="1">
        <v>0.116517</v>
      </c>
      <c r="C47" s="1">
        <v>103261</v>
      </c>
      <c r="H47">
        <f t="shared" si="0"/>
        <v>0.95597545239205883</v>
      </c>
      <c r="I47" s="1">
        <f>(Equation_Sheet!$B$2-'0.5'!C47)/'0.5'!$T$2</f>
        <v>-9.4099198339491347E-2</v>
      </c>
    </row>
    <row r="48" spans="1:9" x14ac:dyDescent="0.3">
      <c r="A48">
        <v>1</v>
      </c>
      <c r="B48" s="1">
        <v>0.11408699999999999</v>
      </c>
      <c r="C48" s="1">
        <v>104097</v>
      </c>
      <c r="H48">
        <f t="shared" si="0"/>
        <v>0.94125415740275153</v>
      </c>
      <c r="I48" s="1">
        <f>(Equation_Sheet!$B$2-'0.5'!C48)/'0.5'!$T$2</f>
        <v>-0.13473294307699896</v>
      </c>
    </row>
    <row r="49" spans="1:9" x14ac:dyDescent="0.3">
      <c r="A49">
        <v>1</v>
      </c>
      <c r="B49" s="1">
        <v>0.11120099999999999</v>
      </c>
      <c r="C49" s="1">
        <v>103756</v>
      </c>
      <c r="H49">
        <f t="shared" si="0"/>
        <v>0.9237703477981668</v>
      </c>
      <c r="I49" s="1">
        <f>(Equation_Sheet!$B$2-'0.5'!C49)/'0.5'!$T$2</f>
        <v>-0.11815865246038401</v>
      </c>
    </row>
    <row r="50" spans="1:9" x14ac:dyDescent="0.3">
      <c r="A50">
        <v>1</v>
      </c>
      <c r="B50" s="1">
        <v>0.107798</v>
      </c>
      <c r="C50" s="1">
        <v>101732</v>
      </c>
      <c r="H50">
        <f t="shared" si="0"/>
        <v>0.9031544766670504</v>
      </c>
      <c r="I50" s="1">
        <f>(Equation_Sheet!$B$2-'0.5'!C50)/'0.5'!$T$2</f>
        <v>-1.9782217832733977E-2</v>
      </c>
    </row>
    <row r="51" spans="1:9" x14ac:dyDescent="0.3">
      <c r="A51">
        <v>1</v>
      </c>
      <c r="B51" s="1">
        <v>0.10381899999999999</v>
      </c>
      <c r="C51" s="1">
        <v>101863</v>
      </c>
      <c r="H51">
        <f t="shared" si="0"/>
        <v>0.87904911339032021</v>
      </c>
      <c r="I51" s="1">
        <f>(Equation_Sheet!$B$2-'0.5'!C51)/'0.5'!$T$2</f>
        <v>-2.6149467307152036E-2</v>
      </c>
    </row>
    <row r="52" spans="1:9" x14ac:dyDescent="0.3">
      <c r="A52">
        <v>1</v>
      </c>
      <c r="B52" s="1">
        <v>9.9208299999999999E-2</v>
      </c>
      <c r="C52" s="1">
        <v>100689</v>
      </c>
      <c r="H52">
        <f t="shared" si="0"/>
        <v>0.85111681923097871</v>
      </c>
      <c r="I52" s="1">
        <f>(Equation_Sheet!$B$2-'0.5'!C52)/'0.5'!$T$2</f>
        <v>3.0912753173510586E-2</v>
      </c>
    </row>
    <row r="53" spans="1:9" x14ac:dyDescent="0.3">
      <c r="A53">
        <v>1</v>
      </c>
      <c r="B53" s="1">
        <v>9.3925599999999998E-2</v>
      </c>
      <c r="C53" s="1">
        <v>100243</v>
      </c>
      <c r="H53">
        <f t="shared" si="0"/>
        <v>0.81911345090175502</v>
      </c>
      <c r="I53" s="1">
        <f>(Equation_Sheet!$B$2-'0.5'!C53)/'0.5'!$T$2</f>
        <v>5.2590564361223988E-2</v>
      </c>
    </row>
    <row r="54" spans="1:9" x14ac:dyDescent="0.3">
      <c r="A54">
        <v>1</v>
      </c>
      <c r="B54" s="1">
        <v>8.7947899999999996E-2</v>
      </c>
      <c r="C54" s="1">
        <v>99621.4</v>
      </c>
      <c r="H54">
        <f t="shared" si="0"/>
        <v>0.78289967104266733</v>
      </c>
      <c r="I54" s="1">
        <f>(Equation_Sheet!$B$2-'0.5'!C54)/'0.5'!$T$2</f>
        <v>8.280340614212707E-2</v>
      </c>
    </row>
    <row r="55" spans="1:9" x14ac:dyDescent="0.3">
      <c r="A55">
        <v>1</v>
      </c>
      <c r="B55" s="1">
        <v>8.1279299999999999E-2</v>
      </c>
      <c r="C55" s="1">
        <v>99082.3</v>
      </c>
      <c r="H55">
        <f t="shared" si="0"/>
        <v>0.74250031805266947</v>
      </c>
      <c r="I55" s="1">
        <f>(Equation_Sheet!$B$2-'0.5'!C55)/'0.5'!$T$2</f>
        <v>0.10900633890288067</v>
      </c>
    </row>
    <row r="56" spans="1:9" x14ac:dyDescent="0.3">
      <c r="A56">
        <v>1</v>
      </c>
      <c r="B56" s="1">
        <v>7.3956800000000003E-2</v>
      </c>
      <c r="C56" s="1">
        <v>98296.2</v>
      </c>
      <c r="H56">
        <f t="shared" si="0"/>
        <v>0.69813954333694794</v>
      </c>
      <c r="I56" s="1">
        <f>(Equation_Sheet!$B$2-'0.5'!C56)/'0.5'!$T$2</f>
        <v>0.14721469624517131</v>
      </c>
    </row>
    <row r="57" spans="1:9" x14ac:dyDescent="0.3">
      <c r="A57">
        <v>1</v>
      </c>
      <c r="B57" s="1">
        <v>6.6054000000000002E-2</v>
      </c>
      <c r="C57" s="1">
        <v>97600.6</v>
      </c>
      <c r="H57">
        <f t="shared" si="0"/>
        <v>0.6502632264474425</v>
      </c>
      <c r="I57" s="1">
        <f>(Equation_Sheet!$B$2-'0.5'!C57)/'0.5'!$T$2</f>
        <v>0.18102430490475258</v>
      </c>
    </row>
    <row r="58" spans="1:9" x14ac:dyDescent="0.3">
      <c r="A58">
        <v>1</v>
      </c>
      <c r="B58" s="1">
        <v>5.7682400000000002E-2</v>
      </c>
      <c r="C58" s="1">
        <v>96892.2</v>
      </c>
      <c r="H58">
        <f t="shared" si="0"/>
        <v>0.59954685067275715</v>
      </c>
      <c r="I58" s="1">
        <f>(Equation_Sheet!$B$2-'0.5'!C58)/'0.5'!$T$2</f>
        <v>0.21545605702443052</v>
      </c>
    </row>
    <row r="59" spans="1:9" x14ac:dyDescent="0.3">
      <c r="A59">
        <v>1</v>
      </c>
      <c r="B59" s="1">
        <v>4.8986799999999997E-2</v>
      </c>
      <c r="C59" s="1">
        <v>96146.4</v>
      </c>
      <c r="H59">
        <f t="shared" si="0"/>
        <v>0.54686763556616391</v>
      </c>
      <c r="I59" s="1">
        <f>(Equation_Sheet!$B$2-'0.5'!C59)/'0.5'!$T$2</f>
        <v>0.25170563456657563</v>
      </c>
    </row>
    <row r="60" spans="1:9" x14ac:dyDescent="0.3">
      <c r="A60">
        <v>1</v>
      </c>
      <c r="B60" s="1">
        <v>4.0136400000000003E-2</v>
      </c>
      <c r="C60" s="1">
        <v>95232.7</v>
      </c>
      <c r="H60">
        <f t="shared" si="0"/>
        <v>0.49325061944543724</v>
      </c>
      <c r="I60" s="1">
        <f>(Equation_Sheet!$B$2-'0.5'!C60)/'0.5'!$T$2</f>
        <v>0.29611598452669596</v>
      </c>
    </row>
    <row r="61" spans="1:9" x14ac:dyDescent="0.3">
      <c r="A61">
        <v>1</v>
      </c>
      <c r="B61" s="1">
        <v>3.1312600000000003E-2</v>
      </c>
      <c r="C61" s="1">
        <v>94444.800000000003</v>
      </c>
      <c r="H61">
        <f t="shared" si="0"/>
        <v>0.43979475001060175</v>
      </c>
      <c r="I61" s="1">
        <f>(Equation_Sheet!$B$2-'0.5'!C61)/'0.5'!$T$2</f>
        <v>0.33441183079306203</v>
      </c>
    </row>
    <row r="62" spans="1:9" x14ac:dyDescent="0.3">
      <c r="A62">
        <v>1</v>
      </c>
      <c r="B62" s="1">
        <v>2.2694200000000001E-2</v>
      </c>
      <c r="C62" s="1">
        <v>93630.5</v>
      </c>
      <c r="H62">
        <f t="shared" si="0"/>
        <v>0.38758322378185822</v>
      </c>
      <c r="I62" s="1">
        <f>(Equation_Sheet!$B$2-'0.5'!C62)/'0.5'!$T$2</f>
        <v>0.37399084794587611</v>
      </c>
    </row>
    <row r="63" spans="1:9" x14ac:dyDescent="0.3">
      <c r="A63">
        <v>1</v>
      </c>
      <c r="B63" s="1">
        <v>1.4444E-2</v>
      </c>
      <c r="C63" s="1">
        <v>92737.8</v>
      </c>
      <c r="H63">
        <f t="shared" si="0"/>
        <v>0.33760230694202953</v>
      </c>
      <c r="I63" s="1">
        <f>(Equation_Sheet!$B$2-'0.5'!C63)/'0.5'!$T$2</f>
        <v>0.41738049379177677</v>
      </c>
    </row>
    <row r="64" spans="1:9" x14ac:dyDescent="0.3">
      <c r="A64">
        <v>1</v>
      </c>
      <c r="B64" s="1">
        <v>6.69683E-3</v>
      </c>
      <c r="C64" s="1">
        <v>91941.1</v>
      </c>
      <c r="H64">
        <f t="shared" si="0"/>
        <v>0.29066881932790922</v>
      </c>
      <c r="I64" s="1">
        <f>(Equation_Sheet!$B$2-'0.5'!C64)/'0.5'!$T$2</f>
        <v>0.45610406368695883</v>
      </c>
    </row>
    <row r="65" spans="1:9" x14ac:dyDescent="0.3">
      <c r="A65">
        <v>1</v>
      </c>
      <c r="B65" s="1">
        <v>-4.46744E-4</v>
      </c>
      <c r="C65" s="1">
        <v>91205.1</v>
      </c>
      <c r="H65">
        <f t="shared" si="0"/>
        <v>0.2473920044587955</v>
      </c>
      <c r="I65" s="1">
        <f>(Equation_Sheet!$B$2-'0.5'!C65)/'0.5'!$T$2</f>
        <v>0.49187731264246792</v>
      </c>
    </row>
    <row r="66" spans="1:9" x14ac:dyDescent="0.3">
      <c r="A66">
        <v>1</v>
      </c>
      <c r="B66" s="1">
        <v>-6.92334E-3</v>
      </c>
      <c r="C66" s="1">
        <v>90449.8</v>
      </c>
      <c r="H66">
        <f t="shared" si="0"/>
        <v>0.20815583974991972</v>
      </c>
      <c r="I66" s="1">
        <f>(Equation_Sheet!$B$2-'0.5'!C66)/'0.5'!$T$2</f>
        <v>0.52858863728390293</v>
      </c>
    </row>
    <row r="67" spans="1:9" x14ac:dyDescent="0.3">
      <c r="A67">
        <v>1</v>
      </c>
      <c r="B67" s="1">
        <v>-1.27049E-2</v>
      </c>
      <c r="C67" s="1">
        <v>89711.5</v>
      </c>
      <c r="H67">
        <f t="shared" ref="H67:H80" si="1">(B67-$E$2)/$F$2</f>
        <v>0.17313030466416665</v>
      </c>
      <c r="I67" s="1">
        <f>(Equation_Sheet!$B$2-'0.5'!C67)/'0.5'!$T$2</f>
        <v>0.56447367764239809</v>
      </c>
    </row>
    <row r="68" spans="1:9" x14ac:dyDescent="0.3">
      <c r="A68">
        <v>1</v>
      </c>
      <c r="B68" s="1">
        <v>-1.7793699999999999E-2</v>
      </c>
      <c r="C68" s="1">
        <v>89329.9</v>
      </c>
      <c r="H68">
        <f t="shared" si="1"/>
        <v>0.14230161086104429</v>
      </c>
      <c r="I68" s="1">
        <f>(Equation_Sheet!$B$2-'0.5'!C68)/'0.5'!$T$2</f>
        <v>0.58302132954650476</v>
      </c>
    </row>
    <row r="69" spans="1:9" x14ac:dyDescent="0.3">
      <c r="A69">
        <v>1</v>
      </c>
      <c r="B69" s="1">
        <v>-2.2216400000000001E-2</v>
      </c>
      <c r="C69" s="1">
        <v>88918.7</v>
      </c>
      <c r="H69">
        <f t="shared" si="1"/>
        <v>0.11550824816589626</v>
      </c>
      <c r="I69" s="1">
        <f>(Equation_Sheet!$B$2-'0.5'!C69)/'0.5'!$T$2</f>
        <v>0.6030076882020825</v>
      </c>
    </row>
    <row r="70" spans="1:9" x14ac:dyDescent="0.3">
      <c r="A70">
        <v>1</v>
      </c>
      <c r="B70" s="1">
        <v>-2.6016000000000001E-2</v>
      </c>
      <c r="C70" s="1">
        <v>88118.399999999994</v>
      </c>
      <c r="H70">
        <f t="shared" si="1"/>
        <v>9.248971629701877E-2</v>
      </c>
      <c r="I70" s="1">
        <f>(Equation_Sheet!$B$2-'0.5'!C70)/'0.5'!$T$2</f>
        <v>0.64190623594541685</v>
      </c>
    </row>
    <row r="71" spans="1:9" x14ac:dyDescent="0.3">
      <c r="A71">
        <v>1</v>
      </c>
      <c r="B71" s="1">
        <v>-2.9246100000000001E-2</v>
      </c>
      <c r="C71" s="1">
        <v>88335.7</v>
      </c>
      <c r="H71">
        <f t="shared" si="1"/>
        <v>7.2921298624195011E-2</v>
      </c>
      <c r="I71" s="1">
        <f>(Equation_Sheet!$B$2-'0.5'!C71)/'0.5'!$T$2</f>
        <v>0.63134437861113391</v>
      </c>
    </row>
    <row r="72" spans="1:9" x14ac:dyDescent="0.3">
      <c r="A72">
        <v>1</v>
      </c>
      <c r="B72" s="1">
        <v>-3.1964699999999999E-2</v>
      </c>
      <c r="C72" s="1">
        <v>87536.3</v>
      </c>
      <c r="H72">
        <f t="shared" si="1"/>
        <v>5.6451622674429172E-2</v>
      </c>
      <c r="I72" s="1">
        <f>(Equation_Sheet!$B$2-'0.5'!C72)/'0.5'!$T$2</f>
        <v>0.67019918189242977</v>
      </c>
    </row>
    <row r="73" spans="1:9" x14ac:dyDescent="0.3">
      <c r="A73">
        <v>1</v>
      </c>
      <c r="B73" s="1">
        <v>-3.4229799999999998E-2</v>
      </c>
      <c r="C73" s="1">
        <v>87972.9</v>
      </c>
      <c r="H73">
        <f t="shared" si="1"/>
        <v>4.2729315974725422E-2</v>
      </c>
      <c r="I73" s="1">
        <f>(Equation_Sheet!$B$2-'0.5'!C73)/'0.5'!$T$2</f>
        <v>0.64897825730822467</v>
      </c>
    </row>
    <row r="74" spans="1:9" x14ac:dyDescent="0.3">
      <c r="A74">
        <v>1</v>
      </c>
      <c r="B74" s="1">
        <v>-3.6096099999999999E-2</v>
      </c>
      <c r="C74" s="1">
        <v>88540.1</v>
      </c>
      <c r="H74">
        <f t="shared" si="1"/>
        <v>3.1422997934172185E-2</v>
      </c>
      <c r="I74" s="1">
        <f>(Equation_Sheet!$B$2-'0.5'!C74)/'0.5'!$T$2</f>
        <v>0.62140952523272852</v>
      </c>
    </row>
    <row r="75" spans="1:9" x14ac:dyDescent="0.3">
      <c r="A75">
        <v>1</v>
      </c>
      <c r="B75" s="1">
        <v>-3.7612399999999997E-2</v>
      </c>
      <c r="C75" s="1">
        <v>91824.3</v>
      </c>
      <c r="H75">
        <f t="shared" si="1"/>
        <v>2.2237031023766122E-2</v>
      </c>
      <c r="I75" s="1">
        <f>(Equation_Sheet!$B$2-'0.5'!C75)/'0.5'!$T$2</f>
        <v>0.46178112276033323</v>
      </c>
    </row>
    <row r="76" spans="1:9" x14ac:dyDescent="0.3">
      <c r="A76">
        <v>1</v>
      </c>
      <c r="B76" s="1">
        <v>-3.8819800000000002E-2</v>
      </c>
      <c r="C76" s="1">
        <v>93506.4</v>
      </c>
      <c r="H76">
        <f t="shared" si="1"/>
        <v>1.4922425439367035E-2</v>
      </c>
      <c r="I76" s="1">
        <f>(Equation_Sheet!$B$2-'0.5'!C76)/'0.5'!$T$2</f>
        <v>0.38002272321133657</v>
      </c>
    </row>
    <row r="77" spans="1:9" x14ac:dyDescent="0.3">
      <c r="A77">
        <v>1</v>
      </c>
      <c r="B77" s="1">
        <v>-3.9751000000000002E-2</v>
      </c>
      <c r="C77" s="1">
        <v>100871</v>
      </c>
      <c r="H77">
        <f t="shared" si="1"/>
        <v>9.2810798039583836E-3</v>
      </c>
      <c r="I77" s="1">
        <f>(Equation_Sheet!$B$2-'0.5'!C77)/'0.5'!$T$2</f>
        <v>2.2066650850273279E-2</v>
      </c>
    </row>
    <row r="78" spans="1:9" x14ac:dyDescent="0.3">
      <c r="A78">
        <v>1</v>
      </c>
      <c r="B78" s="1">
        <v>-4.04312E-2</v>
      </c>
      <c r="C78" s="1">
        <v>100048</v>
      </c>
      <c r="H78">
        <f t="shared" si="1"/>
        <v>5.1603288361695534E-3</v>
      </c>
      <c r="I78" s="1">
        <f>(Equation_Sheet!$B$2-'0.5'!C78)/'0.5'!$T$2</f>
        <v>6.2068531136121097E-2</v>
      </c>
    </row>
    <row r="79" spans="1:9" x14ac:dyDescent="0.3">
      <c r="A79">
        <v>1</v>
      </c>
      <c r="B79" s="1">
        <v>-4.0910599999999998E-2</v>
      </c>
      <c r="C79" s="1">
        <v>110059</v>
      </c>
      <c r="H79">
        <f t="shared" si="1"/>
        <v>2.2560536024765813E-3</v>
      </c>
      <c r="I79" s="1">
        <f>(Equation_Sheet!$B$2-'0.5'!C79)/'0.5'!$T$2</f>
        <v>-0.42451570159975072</v>
      </c>
    </row>
    <row r="80" spans="1:9" x14ac:dyDescent="0.3">
      <c r="A80">
        <v>1</v>
      </c>
      <c r="B80" s="1">
        <v>-4.1184499999999999E-2</v>
      </c>
      <c r="C80" s="1">
        <v>118050</v>
      </c>
      <c r="H80">
        <f t="shared" si="1"/>
        <v>5.9672738948427818E-4</v>
      </c>
      <c r="I80" s="1">
        <f>(Equation_Sheet!$B$2-'0.5'!C80)/'0.5'!$T$2</f>
        <v>-0.81291791953925241</v>
      </c>
    </row>
  </sheetData>
  <sortState xmlns:xlrd2="http://schemas.microsoft.com/office/spreadsheetml/2017/richdata2" ref="A2:C80">
    <sortCondition descending="1" ref="A1:A80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1E63-6A22-4208-B46B-8E1FC9B2FD2E}">
  <dimension ref="A1:T82"/>
  <sheetViews>
    <sheetView workbookViewId="0">
      <selection activeCell="T2" sqref="T2"/>
    </sheetView>
  </sheetViews>
  <sheetFormatPr defaultRowHeight="16.5" x14ac:dyDescent="0.3"/>
  <cols>
    <col min="2" max="6" width="9" style="1"/>
    <col min="11" max="11" width="9" style="1"/>
  </cols>
  <sheetData>
    <row r="1" spans="1:20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</row>
    <row r="2" spans="1:20" x14ac:dyDescent="0.3">
      <c r="A2">
        <v>2</v>
      </c>
      <c r="B2" s="1">
        <v>-4.1184499999999999E-2</v>
      </c>
      <c r="C2" s="1">
        <v>125331</v>
      </c>
      <c r="E2">
        <f>MIN(B:B)</f>
        <v>-4.1283E-2</v>
      </c>
      <c r="F2">
        <f>E3-E2</f>
        <v>0.16506700000000002</v>
      </c>
      <c r="H2">
        <f>(B2-$E$2)/$F$2</f>
        <v>5.9672738948427818E-4</v>
      </c>
      <c r="I2" s="1">
        <f>(Equation_Sheet!$B$2-'0.68'!C2)/'0.68'!$T$2</f>
        <v>-0.84410560088083708</v>
      </c>
      <c r="J2" s="1"/>
      <c r="R2">
        <f>0.143+0.68</f>
        <v>0.82300000000000006</v>
      </c>
      <c r="S2">
        <f>R2*Equation_Sheet!$D$2</f>
        <v>215.4608961587</v>
      </c>
      <c r="T2">
        <f>(Equation_Sheet!$E$2*'0.68'!S2^2)/2</f>
        <v>28439.569616585144</v>
      </c>
    </row>
    <row r="3" spans="1:20" x14ac:dyDescent="0.3">
      <c r="A3">
        <v>2</v>
      </c>
      <c r="B3" s="1">
        <v>-4.0910599999999998E-2</v>
      </c>
      <c r="C3" s="1">
        <v>123351</v>
      </c>
      <c r="E3">
        <f>MAX(B:B)</f>
        <v>0.12378400000000001</v>
      </c>
      <c r="F3"/>
      <c r="H3">
        <f t="shared" ref="H3:H66" si="0">(B3-$E$2)/$F$2</f>
        <v>2.2560536024765813E-3</v>
      </c>
      <c r="I3" s="1">
        <f>(Equation_Sheet!$B$2-'0.68'!C3)/'0.68'!$T$2</f>
        <v>-0.77448429413485453</v>
      </c>
      <c r="J3" s="1"/>
    </row>
    <row r="4" spans="1:20" x14ac:dyDescent="0.3">
      <c r="A4">
        <v>2</v>
      </c>
      <c r="B4" s="1">
        <v>-4.04312E-2</v>
      </c>
      <c r="C4" s="1">
        <v>106260</v>
      </c>
      <c r="H4">
        <f t="shared" si="0"/>
        <v>5.1603288361695534E-3</v>
      </c>
      <c r="I4" s="1">
        <f>(Equation_Sheet!$B$2-'0.68'!C4)/'0.68'!$T$2</f>
        <v>-0.17352583272294139</v>
      </c>
      <c r="J4" s="1"/>
    </row>
    <row r="5" spans="1:20" x14ac:dyDescent="0.3">
      <c r="A5">
        <v>2</v>
      </c>
      <c r="B5" s="1">
        <v>-3.9751000000000002E-2</v>
      </c>
      <c r="C5" s="1">
        <v>104344</v>
      </c>
      <c r="H5">
        <f t="shared" si="0"/>
        <v>9.2810798039583836E-3</v>
      </c>
      <c r="I5" s="1">
        <f>(Equation_Sheet!$B$2-'0.68'!C5)/'0.68'!$T$2</f>
        <v>-0.10615491164955625</v>
      </c>
      <c r="J5" s="1"/>
    </row>
    <row r="6" spans="1:20" x14ac:dyDescent="0.3">
      <c r="A6">
        <v>2</v>
      </c>
      <c r="B6" s="1">
        <v>-3.8819800000000002E-2</v>
      </c>
      <c r="C6" s="1">
        <v>96693.8</v>
      </c>
      <c r="H6">
        <f t="shared" si="0"/>
        <v>1.4922425439367035E-2</v>
      </c>
      <c r="I6" s="1">
        <f>(Equation_Sheet!$B$2-'0.68'!C6)/'0.68'!$T$2</f>
        <v>0.16284353323333042</v>
      </c>
      <c r="J6" s="1"/>
    </row>
    <row r="7" spans="1:20" x14ac:dyDescent="0.3">
      <c r="A7">
        <v>2</v>
      </c>
      <c r="B7" s="1">
        <v>-3.7612399999999997E-2</v>
      </c>
      <c r="C7" s="1">
        <v>87101.5</v>
      </c>
      <c r="H7">
        <f t="shared" si="0"/>
        <v>2.2237031023766122E-2</v>
      </c>
      <c r="I7" s="1">
        <f>(Equation_Sheet!$B$2-'0.68'!C7)/'0.68'!$T$2</f>
        <v>0.50013063459670859</v>
      </c>
      <c r="J7" s="1"/>
    </row>
    <row r="8" spans="1:20" x14ac:dyDescent="0.3">
      <c r="A8">
        <v>2</v>
      </c>
      <c r="B8" s="1">
        <v>-3.6096099999999999E-2</v>
      </c>
      <c r="C8" s="1">
        <v>83278</v>
      </c>
      <c r="H8">
        <f t="shared" si="0"/>
        <v>3.1422997934172185E-2</v>
      </c>
      <c r="I8" s="1">
        <f>(Equation_Sheet!$B$2-'0.68'!C8)/'0.68'!$T$2</f>
        <v>0.63457359739633701</v>
      </c>
      <c r="J8" s="1"/>
    </row>
    <row r="9" spans="1:20" x14ac:dyDescent="0.3">
      <c r="A9">
        <v>2</v>
      </c>
      <c r="B9" s="1">
        <v>-3.4229799999999998E-2</v>
      </c>
      <c r="C9" s="1">
        <v>82009.5</v>
      </c>
      <c r="H9">
        <f t="shared" si="0"/>
        <v>4.2729315974725422E-2</v>
      </c>
      <c r="I9" s="1">
        <f>(Equation_Sheet!$B$2-'0.68'!C9)/'0.68'!$T$2</f>
        <v>0.67917694467274048</v>
      </c>
      <c r="J9" s="1"/>
    </row>
    <row r="10" spans="1:20" x14ac:dyDescent="0.3">
      <c r="A10">
        <v>2</v>
      </c>
      <c r="B10" s="1">
        <v>-3.1964699999999999E-2</v>
      </c>
      <c r="C10" s="1">
        <v>79750.8</v>
      </c>
      <c r="H10">
        <f t="shared" si="0"/>
        <v>5.6451622674429172E-2</v>
      </c>
      <c r="I10" s="1">
        <f>(Equation_Sheet!$B$2-'0.68'!C10)/'0.68'!$T$2</f>
        <v>0.75859797777736204</v>
      </c>
      <c r="J10" s="1"/>
    </row>
    <row r="11" spans="1:20" x14ac:dyDescent="0.3">
      <c r="A11">
        <v>2</v>
      </c>
      <c r="B11" s="1">
        <v>-2.9246100000000001E-2</v>
      </c>
      <c r="C11" s="1">
        <v>79836.2</v>
      </c>
      <c r="H11">
        <f t="shared" si="0"/>
        <v>7.2921298624195011E-2</v>
      </c>
      <c r="I11" s="1">
        <f>(Equation_Sheet!$B$2-'0.68'!C11)/'0.68'!$T$2</f>
        <v>0.75559511939549007</v>
      </c>
      <c r="J11" s="1"/>
    </row>
    <row r="12" spans="1:20" x14ac:dyDescent="0.3">
      <c r="A12">
        <v>2</v>
      </c>
      <c r="B12" s="1">
        <v>-2.6016000000000001E-2</v>
      </c>
      <c r="C12" s="1">
        <v>79770.5</v>
      </c>
      <c r="H12">
        <f t="shared" si="0"/>
        <v>9.248971629701877E-2</v>
      </c>
      <c r="I12" s="1">
        <f>(Equation_Sheet!$B$2-'0.68'!C12)/'0.68'!$T$2</f>
        <v>0.75790528093751575</v>
      </c>
      <c r="J12" s="1"/>
    </row>
    <row r="13" spans="1:20" x14ac:dyDescent="0.3">
      <c r="A13">
        <v>2</v>
      </c>
      <c r="B13" s="1">
        <v>-2.2216400000000001E-2</v>
      </c>
      <c r="C13" s="1">
        <v>79880</v>
      </c>
      <c r="H13">
        <f t="shared" si="0"/>
        <v>0.11550824816589626</v>
      </c>
      <c r="I13" s="1">
        <f>(Equation_Sheet!$B$2-'0.68'!C13)/'0.68'!$T$2</f>
        <v>0.75405501170080613</v>
      </c>
      <c r="J13" s="1"/>
    </row>
    <row r="14" spans="1:20" x14ac:dyDescent="0.3">
      <c r="A14">
        <v>2</v>
      </c>
      <c r="B14" s="1">
        <v>-1.7793699999999999E-2</v>
      </c>
      <c r="C14" s="1">
        <v>81585.899999999994</v>
      </c>
      <c r="H14">
        <f t="shared" si="0"/>
        <v>0.14230161086104429</v>
      </c>
      <c r="I14" s="1">
        <f>(Equation_Sheet!$B$2-'0.68'!C14)/'0.68'!$T$2</f>
        <v>0.69407168484324488</v>
      </c>
      <c r="J14" s="1"/>
    </row>
    <row r="15" spans="1:20" x14ac:dyDescent="0.3">
      <c r="A15">
        <v>2</v>
      </c>
      <c r="B15" s="1">
        <v>-1.27049E-2</v>
      </c>
      <c r="C15" s="1">
        <v>81716.5</v>
      </c>
      <c r="H15">
        <f t="shared" si="0"/>
        <v>0.17313030466416665</v>
      </c>
      <c r="I15" s="1">
        <f>(Equation_Sheet!$B$2-'0.68'!C15)/'0.68'!$T$2</f>
        <v>0.68947949158010058</v>
      </c>
      <c r="J15" s="1"/>
    </row>
    <row r="16" spans="1:20" x14ac:dyDescent="0.3">
      <c r="A16">
        <v>2</v>
      </c>
      <c r="B16" s="1">
        <v>-6.92334E-3</v>
      </c>
      <c r="C16" s="1">
        <v>83370.600000000006</v>
      </c>
      <c r="H16">
        <f t="shared" si="0"/>
        <v>0.20815583974991972</v>
      </c>
      <c r="I16" s="1">
        <f>(Equation_Sheet!$B$2-'0.68'!C16)/'0.68'!$T$2</f>
        <v>0.63131757062629745</v>
      </c>
      <c r="J16" s="1"/>
    </row>
    <row r="17" spans="1:10" x14ac:dyDescent="0.3">
      <c r="A17">
        <v>2</v>
      </c>
      <c r="B17" s="1">
        <v>-4.46744E-4</v>
      </c>
      <c r="C17" s="1">
        <v>84431.9</v>
      </c>
      <c r="H17">
        <f t="shared" si="0"/>
        <v>0.2473920044587955</v>
      </c>
      <c r="I17" s="1">
        <f>(Equation_Sheet!$B$2-'0.68'!C17)/'0.68'!$T$2</f>
        <v>0.59399984696492847</v>
      </c>
      <c r="J17" s="1"/>
    </row>
    <row r="18" spans="1:10" x14ac:dyDescent="0.3">
      <c r="A18">
        <v>2</v>
      </c>
      <c r="B18" s="1">
        <v>6.69683E-3</v>
      </c>
      <c r="C18" s="1">
        <v>85847.9</v>
      </c>
      <c r="H18">
        <f t="shared" si="0"/>
        <v>0.29066881932790922</v>
      </c>
      <c r="I18" s="1">
        <f>(Equation_Sheet!$B$2-'0.68'!C18)/'0.68'!$T$2</f>
        <v>0.54421006395871063</v>
      </c>
      <c r="J18" s="1"/>
    </row>
    <row r="19" spans="1:10" x14ac:dyDescent="0.3">
      <c r="A19">
        <v>2</v>
      </c>
      <c r="B19" s="1">
        <v>1.4444E-2</v>
      </c>
      <c r="C19" s="1">
        <v>87277.6</v>
      </c>
      <c r="H19">
        <f t="shared" si="0"/>
        <v>0.33760230694202953</v>
      </c>
      <c r="I19" s="1">
        <f>(Equation_Sheet!$B$2-'0.68'!C19)/'0.68'!$T$2</f>
        <v>0.49393855776945206</v>
      </c>
      <c r="J19" s="1"/>
    </row>
    <row r="20" spans="1:10" x14ac:dyDescent="0.3">
      <c r="A20">
        <v>2</v>
      </c>
      <c r="B20" s="1">
        <v>2.2694200000000001E-2</v>
      </c>
      <c r="C20" s="1">
        <v>88883.9</v>
      </c>
      <c r="H20">
        <f t="shared" si="0"/>
        <v>0.38758322378185822</v>
      </c>
      <c r="I20" s="1">
        <f>(Equation_Sheet!$B$2-'0.68'!C20)/'0.68'!$T$2</f>
        <v>0.43745739361487074</v>
      </c>
      <c r="J20" s="1"/>
    </row>
    <row r="21" spans="1:10" x14ac:dyDescent="0.3">
      <c r="A21">
        <v>2</v>
      </c>
      <c r="B21" s="1">
        <v>3.1312600000000003E-2</v>
      </c>
      <c r="C21" s="1">
        <v>90379</v>
      </c>
      <c r="H21">
        <f t="shared" si="0"/>
        <v>0.43979475001060175</v>
      </c>
      <c r="I21" s="1">
        <f>(Equation_Sheet!$B$2-'0.68'!C21)/'0.68'!$T$2</f>
        <v>0.38488627456642682</v>
      </c>
      <c r="J21" s="1"/>
    </row>
    <row r="22" spans="1:10" x14ac:dyDescent="0.3">
      <c r="A22">
        <v>2</v>
      </c>
      <c r="B22" s="1">
        <v>4.0136400000000003E-2</v>
      </c>
      <c r="C22" s="1">
        <v>91896.8</v>
      </c>
      <c r="H22">
        <f t="shared" si="0"/>
        <v>0.49325061944543724</v>
      </c>
      <c r="I22" s="1">
        <f>(Equation_Sheet!$B$2-'0.68'!C22)/'0.68'!$T$2</f>
        <v>0.33151697184973361</v>
      </c>
      <c r="J22" s="1"/>
    </row>
    <row r="23" spans="1:10" x14ac:dyDescent="0.3">
      <c r="A23">
        <v>2</v>
      </c>
      <c r="B23" s="1">
        <v>4.8986799999999997E-2</v>
      </c>
      <c r="C23" s="1">
        <v>93233.8</v>
      </c>
      <c r="H23">
        <f t="shared" si="0"/>
        <v>0.54686763556616391</v>
      </c>
      <c r="I23" s="1">
        <f>(Equation_Sheet!$B$2-'0.68'!C23)/'0.68'!$T$2</f>
        <v>0.28450500865812822</v>
      </c>
      <c r="J23" s="1"/>
    </row>
    <row r="24" spans="1:10" x14ac:dyDescent="0.3">
      <c r="A24">
        <v>2</v>
      </c>
      <c r="B24" s="1">
        <v>5.7682400000000002E-2</v>
      </c>
      <c r="C24" s="1">
        <v>94731.8</v>
      </c>
      <c r="H24">
        <f t="shared" si="0"/>
        <v>0.59954685067275715</v>
      </c>
      <c r="I24" s="1">
        <f>(Equation_Sheet!$B$2-'0.68'!C24)/'0.68'!$T$2</f>
        <v>0.23183191900889497</v>
      </c>
      <c r="J24" s="1"/>
    </row>
    <row r="25" spans="1:10" x14ac:dyDescent="0.3">
      <c r="A25">
        <v>2</v>
      </c>
      <c r="B25" s="1">
        <v>6.6054000000000002E-2</v>
      </c>
      <c r="C25" s="1">
        <v>95821.3</v>
      </c>
      <c r="H25">
        <f t="shared" si="0"/>
        <v>0.6502632264474425</v>
      </c>
      <c r="I25" s="1">
        <f>(Equation_Sheet!$B$2-'0.68'!C25)/'0.68'!$T$2</f>
        <v>0.1935226191605374</v>
      </c>
      <c r="J25" s="1"/>
    </row>
    <row r="26" spans="1:10" x14ac:dyDescent="0.3">
      <c r="A26">
        <v>2</v>
      </c>
      <c r="B26" s="1">
        <v>7.3956800000000003E-2</v>
      </c>
      <c r="C26" s="1">
        <v>97076.4</v>
      </c>
      <c r="H26">
        <f t="shared" si="0"/>
        <v>0.69813954333694794</v>
      </c>
      <c r="I26" s="1">
        <f>(Equation_Sheet!$B$2-'0.68'!C26)/'0.68'!$T$2</f>
        <v>0.1493904463843343</v>
      </c>
      <c r="J26" s="1"/>
    </row>
    <row r="27" spans="1:10" x14ac:dyDescent="0.3">
      <c r="A27">
        <v>2</v>
      </c>
      <c r="B27" s="1">
        <v>8.1279299999999999E-2</v>
      </c>
      <c r="C27" s="1">
        <v>98162.3</v>
      </c>
      <c r="H27">
        <f t="shared" si="0"/>
        <v>0.74250031805266947</v>
      </c>
      <c r="I27" s="1">
        <f>(Equation_Sheet!$B$2-'0.68'!C27)/'0.68'!$T$2</f>
        <v>0.11120773073006002</v>
      </c>
      <c r="J27" s="1"/>
    </row>
    <row r="28" spans="1:10" x14ac:dyDescent="0.3">
      <c r="A28">
        <v>2</v>
      </c>
      <c r="B28" s="1">
        <v>8.7947899999999996E-2</v>
      </c>
      <c r="C28" s="1">
        <v>99429.8</v>
      </c>
      <c r="H28">
        <f t="shared" si="0"/>
        <v>0.78289967104266733</v>
      </c>
      <c r="I28" s="1">
        <f>(Equation_Sheet!$B$2-'0.68'!C28)/'0.68'!$T$2</f>
        <v>6.6639545729790889E-2</v>
      </c>
      <c r="J28" s="1"/>
    </row>
    <row r="29" spans="1:10" x14ac:dyDescent="0.3">
      <c r="A29">
        <v>2</v>
      </c>
      <c r="B29" s="1">
        <v>9.3925599999999998E-2</v>
      </c>
      <c r="C29" s="1">
        <v>100339</v>
      </c>
      <c r="H29">
        <f t="shared" si="0"/>
        <v>0.81911345090175502</v>
      </c>
      <c r="I29" s="1">
        <f>(Equation_Sheet!$B$2-'0.68'!C29)/'0.68'!$T$2</f>
        <v>3.4670004268453944E-2</v>
      </c>
      <c r="J29" s="1"/>
    </row>
    <row r="30" spans="1:10" x14ac:dyDescent="0.3">
      <c r="A30">
        <v>2</v>
      </c>
      <c r="B30" s="1">
        <v>9.9208299999999999E-2</v>
      </c>
      <c r="C30" s="1">
        <v>101563</v>
      </c>
      <c r="H30">
        <f t="shared" si="0"/>
        <v>0.85111681923097871</v>
      </c>
      <c r="I30" s="1">
        <f>(Equation_Sheet!$B$2-'0.68'!C30)/'0.68'!$T$2</f>
        <v>-8.368621719971641E-3</v>
      </c>
      <c r="J30" s="1"/>
    </row>
    <row r="31" spans="1:10" x14ac:dyDescent="0.3">
      <c r="A31">
        <v>2</v>
      </c>
      <c r="B31" s="1">
        <v>0.10381899999999999</v>
      </c>
      <c r="C31" s="1">
        <v>102578</v>
      </c>
      <c r="H31">
        <f t="shared" si="0"/>
        <v>0.87904911339032021</v>
      </c>
      <c r="I31" s="1">
        <f>(Equation_Sheet!$B$2-'0.68'!C31)/'0.68'!$T$2</f>
        <v>-4.4058331996321289E-2</v>
      </c>
      <c r="J31" s="1"/>
    </row>
    <row r="32" spans="1:10" x14ac:dyDescent="0.3">
      <c r="A32">
        <v>2</v>
      </c>
      <c r="B32" s="1">
        <v>0.107798</v>
      </c>
      <c r="C32" s="1">
        <v>103326</v>
      </c>
      <c r="H32">
        <f t="shared" si="0"/>
        <v>0.9031544766670504</v>
      </c>
      <c r="I32" s="1">
        <f>(Equation_Sheet!$B$2-'0.68'!C32)/'0.68'!$T$2</f>
        <v>-7.0359714544803595E-2</v>
      </c>
      <c r="J32" s="1"/>
    </row>
    <row r="33" spans="1:10" x14ac:dyDescent="0.3">
      <c r="A33">
        <v>2</v>
      </c>
      <c r="B33" s="1">
        <v>0.11120099999999999</v>
      </c>
      <c r="C33" s="1">
        <v>104940</v>
      </c>
      <c r="H33">
        <f t="shared" si="0"/>
        <v>0.9237703477981668</v>
      </c>
      <c r="I33" s="1">
        <f>(Equation_Sheet!$B$2-'0.68'!C33)/'0.68'!$T$2</f>
        <v>-0.12711162822561967</v>
      </c>
      <c r="J33" s="1"/>
    </row>
    <row r="34" spans="1:10" x14ac:dyDescent="0.3">
      <c r="A34">
        <v>2</v>
      </c>
      <c r="B34" s="1">
        <v>0.11408699999999999</v>
      </c>
      <c r="C34" s="1">
        <v>105407</v>
      </c>
      <c r="H34">
        <f t="shared" si="0"/>
        <v>0.94125415740275153</v>
      </c>
      <c r="I34" s="1">
        <f>(Equation_Sheet!$B$2-'0.68'!C34)/'0.68'!$T$2</f>
        <v>-0.14353241118035395</v>
      </c>
      <c r="J34" s="1"/>
    </row>
    <row r="35" spans="1:10" x14ac:dyDescent="0.3">
      <c r="A35">
        <v>2</v>
      </c>
      <c r="B35" s="1">
        <v>0.116517</v>
      </c>
      <c r="C35" s="1">
        <v>107415</v>
      </c>
      <c r="H35">
        <f t="shared" si="0"/>
        <v>0.95597545239205883</v>
      </c>
      <c r="I35" s="1">
        <f>(Equation_Sheet!$B$2-'0.68'!C35)/'0.68'!$T$2</f>
        <v>-0.21413826165809788</v>
      </c>
      <c r="J35" s="1"/>
    </row>
    <row r="36" spans="1:10" x14ac:dyDescent="0.3">
      <c r="A36">
        <v>2</v>
      </c>
      <c r="B36" s="1">
        <v>0.11855300000000001</v>
      </c>
      <c r="C36" s="1">
        <v>113987</v>
      </c>
      <c r="H36">
        <f t="shared" si="0"/>
        <v>0.96830983782342916</v>
      </c>
      <c r="I36" s="1">
        <f>(Equation_Sheet!$B$2-'0.68'!C36)/'0.68'!$T$2</f>
        <v>-0.44522474041294507</v>
      </c>
      <c r="J36" s="1"/>
    </row>
    <row r="37" spans="1:10" x14ac:dyDescent="0.3">
      <c r="A37">
        <v>2</v>
      </c>
      <c r="B37" s="1">
        <v>0.12024899999999999</v>
      </c>
      <c r="C37" s="1">
        <v>108623</v>
      </c>
      <c r="H37">
        <f t="shared" si="0"/>
        <v>0.97858445358551371</v>
      </c>
      <c r="I37" s="1">
        <f>(Equation_Sheet!$B$2-'0.68'!C37)/'0.68'!$T$2</f>
        <v>-0.25661429122837409</v>
      </c>
      <c r="J37" s="1"/>
    </row>
    <row r="38" spans="1:10" x14ac:dyDescent="0.3">
      <c r="A38">
        <v>2</v>
      </c>
      <c r="B38" s="1">
        <v>0.121658</v>
      </c>
      <c r="C38" s="1">
        <v>118746</v>
      </c>
      <c r="H38">
        <f t="shared" si="0"/>
        <v>0.98712038142087744</v>
      </c>
      <c r="I38" s="1">
        <f>(Equation_Sheet!$B$2-'0.68'!C38)/'0.68'!$T$2</f>
        <v>-0.61256201253624354</v>
      </c>
      <c r="J38" s="1"/>
    </row>
    <row r="39" spans="1:10" x14ac:dyDescent="0.3">
      <c r="A39">
        <v>2</v>
      </c>
      <c r="B39" s="1">
        <v>0.122822</v>
      </c>
      <c r="C39" s="1">
        <v>130235</v>
      </c>
      <c r="H39">
        <f t="shared" si="0"/>
        <v>0.99417206346513831</v>
      </c>
      <c r="I39" s="1">
        <f>(Equation_Sheet!$B$2-'0.68'!C39)/'0.68'!$T$2</f>
        <v>-1.0165414030436142</v>
      </c>
      <c r="J39" s="1"/>
    </row>
    <row r="40" spans="1:10" x14ac:dyDescent="0.3">
      <c r="A40">
        <v>2</v>
      </c>
      <c r="B40" s="1">
        <v>0.12378400000000001</v>
      </c>
      <c r="C40" s="1">
        <v>98262.5</v>
      </c>
      <c r="H40">
        <f t="shared" si="0"/>
        <v>1</v>
      </c>
      <c r="I40" s="1">
        <f>(Equation_Sheet!$B$2-'0.68'!C40)/'0.68'!$T$2</f>
        <v>0.1076844706613998</v>
      </c>
      <c r="J40" s="1"/>
    </row>
    <row r="41" spans="1:10" x14ac:dyDescent="0.3">
      <c r="I41" s="1"/>
      <c r="J41" s="1"/>
    </row>
    <row r="42" spans="1:10" x14ac:dyDescent="0.3">
      <c r="A42">
        <v>1</v>
      </c>
      <c r="B42" s="1">
        <v>-4.1283E-2</v>
      </c>
      <c r="C42" s="1">
        <v>123239</v>
      </c>
      <c r="H42">
        <f t="shared" si="0"/>
        <v>0</v>
      </c>
      <c r="I42" s="1">
        <f>(Equation_Sheet!$B$2-'0.68'!C42)/'0.68'!$T$2</f>
        <v>-0.77054611920780902</v>
      </c>
      <c r="J42" s="1"/>
    </row>
    <row r="43" spans="1:10" x14ac:dyDescent="0.3">
      <c r="A43">
        <v>1</v>
      </c>
      <c r="B43" s="1">
        <v>-4.1261199999999998E-2</v>
      </c>
      <c r="C43" s="1">
        <v>123260</v>
      </c>
      <c r="H43">
        <f t="shared" si="0"/>
        <v>1.3206758467775129E-4</v>
      </c>
      <c r="I43" s="1">
        <f>(Equation_Sheet!$B$2-'0.68'!C43)/'0.68'!$T$2</f>
        <v>-0.77128452700663008</v>
      </c>
      <c r="J43" s="1"/>
    </row>
    <row r="44" spans="1:10" x14ac:dyDescent="0.3">
      <c r="A44">
        <v>1</v>
      </c>
      <c r="B44" s="1">
        <v>-4.1144699999999999E-2</v>
      </c>
      <c r="C44" s="1">
        <v>117554</v>
      </c>
      <c r="H44">
        <f t="shared" si="0"/>
        <v>8.3784160371243744E-4</v>
      </c>
      <c r="I44" s="1">
        <f>(Equation_Sheet!$B$2-'0.68'!C44)/'0.68'!$T$2</f>
        <v>-0.57064857938411662</v>
      </c>
      <c r="J44" s="1"/>
    </row>
    <row r="45" spans="1:10" x14ac:dyDescent="0.3">
      <c r="A45">
        <v>1</v>
      </c>
      <c r="B45" s="1">
        <v>-4.0884499999999997E-2</v>
      </c>
      <c r="C45" s="1">
        <v>118785</v>
      </c>
      <c r="H45">
        <f t="shared" si="0"/>
        <v>2.4141712153247044E-3</v>
      </c>
      <c r="I45" s="1">
        <f>(Equation_Sheet!$B$2-'0.68'!C45)/'0.68'!$T$2</f>
        <v>-0.6139333413054826</v>
      </c>
      <c r="J45" s="1"/>
    </row>
    <row r="46" spans="1:10" x14ac:dyDescent="0.3">
      <c r="A46">
        <v>1</v>
      </c>
      <c r="B46" s="1">
        <v>-4.0419900000000002E-2</v>
      </c>
      <c r="C46" s="1">
        <v>120432</v>
      </c>
      <c r="H46">
        <f t="shared" si="0"/>
        <v>5.2287858869428687E-3</v>
      </c>
      <c r="I46" s="1">
        <f>(Equation_Sheet!$B$2-'0.68'!C46)/'0.68'!$T$2</f>
        <v>-0.67184561009873167</v>
      </c>
      <c r="J46" s="1"/>
    </row>
    <row r="47" spans="1:10" x14ac:dyDescent="0.3">
      <c r="A47">
        <v>1</v>
      </c>
      <c r="B47" s="1">
        <v>-3.9683499999999997E-2</v>
      </c>
      <c r="C47" s="1">
        <v>110943</v>
      </c>
      <c r="H47">
        <f t="shared" si="0"/>
        <v>9.6900046647725082E-3</v>
      </c>
      <c r="I47" s="1">
        <f>(Equation_Sheet!$B$2-'0.68'!C47)/'0.68'!$T$2</f>
        <v>-0.33819077186003044</v>
      </c>
      <c r="J47" s="1"/>
    </row>
    <row r="48" spans="1:10" x14ac:dyDescent="0.3">
      <c r="A48">
        <v>1</v>
      </c>
      <c r="B48" s="1">
        <v>-3.86735E-2</v>
      </c>
      <c r="C48" s="1">
        <v>110205</v>
      </c>
      <c r="H48">
        <f t="shared" si="0"/>
        <v>1.5808732211768557E-2</v>
      </c>
      <c r="I48" s="1">
        <f>(Equation_Sheet!$B$2-'0.68'!C48)/'0.68'!$T$2</f>
        <v>-0.31224101207289151</v>
      </c>
      <c r="J48" s="1"/>
    </row>
    <row r="49" spans="1:10" x14ac:dyDescent="0.3">
      <c r="A49">
        <v>1</v>
      </c>
      <c r="B49" s="1">
        <v>-3.7356300000000002E-2</v>
      </c>
      <c r="C49" s="1">
        <v>103973</v>
      </c>
      <c r="H49">
        <f t="shared" si="0"/>
        <v>2.3788522236425195E-2</v>
      </c>
      <c r="I49" s="1">
        <f>(Equation_Sheet!$B$2-'0.68'!C49)/'0.68'!$T$2</f>
        <v>-9.3109707203718098E-2</v>
      </c>
      <c r="J49" s="1"/>
    </row>
    <row r="50" spans="1:10" x14ac:dyDescent="0.3">
      <c r="A50">
        <v>1</v>
      </c>
      <c r="B50" s="1">
        <v>-3.5689600000000002E-2</v>
      </c>
      <c r="C50" s="1">
        <v>101063</v>
      </c>
      <c r="H50">
        <f t="shared" si="0"/>
        <v>3.3885634318185934E-2</v>
      </c>
      <c r="I50" s="1">
        <f>(Equation_Sheet!$B$2-'0.68'!C50)/'0.68'!$T$2</f>
        <v>9.212516347195672E-3</v>
      </c>
      <c r="J50" s="1"/>
    </row>
    <row r="51" spans="1:10" x14ac:dyDescent="0.3">
      <c r="A51">
        <v>1</v>
      </c>
      <c r="B51" s="1">
        <v>-3.3623399999999998E-2</v>
      </c>
      <c r="C51" s="1">
        <v>97593.4</v>
      </c>
      <c r="H51">
        <f t="shared" si="0"/>
        <v>4.6402975761357518E-2</v>
      </c>
      <c r="I51" s="1">
        <f>(Equation_Sheet!$B$2-'0.68'!C51)/'0.68'!$T$2</f>
        <v>0.13121154962288331</v>
      </c>
      <c r="J51" s="1"/>
    </row>
    <row r="52" spans="1:10" x14ac:dyDescent="0.3">
      <c r="A52">
        <v>1</v>
      </c>
      <c r="B52" s="1">
        <v>-3.1100800000000001E-2</v>
      </c>
      <c r="C52" s="1">
        <v>96755.1</v>
      </c>
      <c r="H52">
        <f t="shared" si="0"/>
        <v>6.1685255078240943E-2</v>
      </c>
      <c r="I52" s="1">
        <f>(Equation_Sheet!$B$2-'0.68'!C52)/'0.68'!$T$2</f>
        <v>0.16068808570629561</v>
      </c>
      <c r="J52" s="1"/>
    </row>
    <row r="53" spans="1:10" x14ac:dyDescent="0.3">
      <c r="A53">
        <v>1</v>
      </c>
      <c r="B53" s="1">
        <v>-2.8060600000000002E-2</v>
      </c>
      <c r="C53" s="1">
        <v>93913.3</v>
      </c>
      <c r="H53">
        <f t="shared" si="0"/>
        <v>8.0103230809307716E-2</v>
      </c>
      <c r="I53" s="1">
        <f>(Equation_Sheet!$B$2-'0.68'!C53)/'0.68'!$T$2</f>
        <v>0.26061224202484784</v>
      </c>
      <c r="J53" s="1"/>
    </row>
    <row r="54" spans="1:10" x14ac:dyDescent="0.3">
      <c r="A54">
        <v>1</v>
      </c>
      <c r="B54" s="1">
        <v>-2.44406E-2</v>
      </c>
      <c r="C54" s="1">
        <v>93770.8</v>
      </c>
      <c r="H54">
        <f t="shared" si="0"/>
        <v>0.10203371964111542</v>
      </c>
      <c r="I54" s="1">
        <f>(Equation_Sheet!$B$2-'0.68'!C54)/'0.68'!$T$2</f>
        <v>0.26562286637399052</v>
      </c>
      <c r="J54" s="1"/>
    </row>
    <row r="55" spans="1:10" x14ac:dyDescent="0.3">
      <c r="A55">
        <v>1</v>
      </c>
      <c r="B55" s="1">
        <v>-2.0181899999999999E-2</v>
      </c>
      <c r="C55" s="1">
        <v>92228.9</v>
      </c>
      <c r="H55">
        <f t="shared" si="0"/>
        <v>0.12783354637813735</v>
      </c>
      <c r="I55" s="1">
        <f>(Equation_Sheet!$B$2-'0.68'!C55)/'0.68'!$T$2</f>
        <v>0.31983957994552142</v>
      </c>
      <c r="J55" s="1"/>
    </row>
    <row r="56" spans="1:10" x14ac:dyDescent="0.3">
      <c r="A56">
        <v>1</v>
      </c>
      <c r="B56" s="1">
        <v>-1.52348E-2</v>
      </c>
      <c r="C56" s="1">
        <v>92585.2</v>
      </c>
      <c r="H56">
        <f t="shared" si="0"/>
        <v>0.15780380088085444</v>
      </c>
      <c r="I56" s="1">
        <f>(Equation_Sheet!$B$2-'0.68'!C56)/'0.68'!$T$2</f>
        <v>0.30731126095885786</v>
      </c>
      <c r="J56" s="1"/>
    </row>
    <row r="57" spans="1:10" x14ac:dyDescent="0.3">
      <c r="A57">
        <v>1</v>
      </c>
      <c r="B57" s="1">
        <v>-9.5662899999999999E-3</v>
      </c>
      <c r="C57" s="1">
        <v>92287.7</v>
      </c>
      <c r="H57">
        <f t="shared" si="0"/>
        <v>0.19214446255156997</v>
      </c>
      <c r="I57" s="1">
        <f>(Equation_Sheet!$B$2-'0.68'!C57)/'0.68'!$T$2</f>
        <v>0.31777203810882243</v>
      </c>
      <c r="J57" s="1"/>
    </row>
    <row r="58" spans="1:10" x14ac:dyDescent="0.3">
      <c r="A58">
        <v>1</v>
      </c>
      <c r="B58" s="1">
        <v>-3.1673000000000001E-3</v>
      </c>
      <c r="C58" s="1">
        <v>92140.2</v>
      </c>
      <c r="H58">
        <f t="shared" si="0"/>
        <v>0.23091047877528517</v>
      </c>
      <c r="I58" s="1">
        <f>(Equation_Sheet!$B$2-'0.68'!C58)/'0.68'!$T$2</f>
        <v>0.32295847383863679</v>
      </c>
      <c r="J58" s="1"/>
    </row>
    <row r="59" spans="1:10" x14ac:dyDescent="0.3">
      <c r="A59">
        <v>1</v>
      </c>
      <c r="B59" s="1">
        <v>3.9396300000000004E-3</v>
      </c>
      <c r="C59" s="1">
        <v>93025.600000000006</v>
      </c>
      <c r="H59">
        <f t="shared" si="0"/>
        <v>0.27396529893921856</v>
      </c>
      <c r="I59" s="1">
        <f>(Equation_Sheet!$B$2-'0.68'!C59)/'0.68'!$T$2</f>
        <v>0.29182579454929658</v>
      </c>
      <c r="J59" s="1"/>
    </row>
    <row r="60" spans="1:10" x14ac:dyDescent="0.3">
      <c r="A60">
        <v>1</v>
      </c>
      <c r="B60" s="1">
        <v>1.1694700000000001E-2</v>
      </c>
      <c r="C60" s="1">
        <v>93180.3</v>
      </c>
      <c r="H60">
        <f t="shared" si="0"/>
        <v>0.32094664590741939</v>
      </c>
      <c r="I60" s="1">
        <f>(Equation_Sheet!$B$2-'0.68'!C60)/'0.68'!$T$2</f>
        <v>0.28638619043131514</v>
      </c>
      <c r="J60" s="1"/>
    </row>
    <row r="61" spans="1:10" x14ac:dyDescent="0.3">
      <c r="A61">
        <v>1</v>
      </c>
      <c r="B61" s="1">
        <v>1.9998499999999999E-2</v>
      </c>
      <c r="C61" s="1">
        <v>93934.1</v>
      </c>
      <c r="H61">
        <f t="shared" si="0"/>
        <v>0.37125227937746486</v>
      </c>
      <c r="I61" s="1">
        <f>(Equation_Sheet!$B$2-'0.68'!C61)/'0.68'!$T$2</f>
        <v>0.2598808666812536</v>
      </c>
      <c r="J61" s="1"/>
    </row>
    <row r="62" spans="1:10" x14ac:dyDescent="0.3">
      <c r="A62">
        <v>1</v>
      </c>
      <c r="B62" s="1">
        <v>2.8714E-2</v>
      </c>
      <c r="C62" s="1">
        <v>94723.4</v>
      </c>
      <c r="H62">
        <f t="shared" si="0"/>
        <v>0.42405205159117204</v>
      </c>
      <c r="I62" s="1">
        <f>(Equation_Sheet!$B$2-'0.68'!C62)/'0.68'!$T$2</f>
        <v>0.23212728212842368</v>
      </c>
      <c r="J62" s="1"/>
    </row>
    <row r="63" spans="1:10" x14ac:dyDescent="0.3">
      <c r="A63">
        <v>1</v>
      </c>
      <c r="B63" s="1">
        <v>3.76738E-2</v>
      </c>
      <c r="C63" s="1">
        <v>95482.5</v>
      </c>
      <c r="H63">
        <f t="shared" si="0"/>
        <v>0.47833182889372183</v>
      </c>
      <c r="I63" s="1">
        <f>(Equation_Sheet!$B$2-'0.68'!C63)/'0.68'!$T$2</f>
        <v>0.20543559831485006</v>
      </c>
      <c r="J63" s="1"/>
    </row>
    <row r="64" spans="1:10" x14ac:dyDescent="0.3">
      <c r="A64">
        <v>1</v>
      </c>
      <c r="B64" s="1">
        <v>4.6691799999999999E-2</v>
      </c>
      <c r="C64" s="1">
        <v>96295.1</v>
      </c>
      <c r="H64">
        <f t="shared" si="0"/>
        <v>0.53296419029848474</v>
      </c>
      <c r="I64" s="1">
        <f>(Equation_Sheet!$B$2-'0.68'!C64)/'0.68'!$T$2</f>
        <v>0.17686273272808953</v>
      </c>
      <c r="J64" s="1"/>
    </row>
    <row r="65" spans="1:10" x14ac:dyDescent="0.3">
      <c r="A65">
        <v>1</v>
      </c>
      <c r="B65" s="1">
        <v>5.5578200000000001E-2</v>
      </c>
      <c r="C65" s="1">
        <v>97137.8</v>
      </c>
      <c r="H65">
        <f t="shared" si="0"/>
        <v>0.58679929967831246</v>
      </c>
      <c r="I65" s="1">
        <f>(Equation_Sheet!$B$2-'0.68'!C65)/'0.68'!$T$2</f>
        <v>0.14723148262968586</v>
      </c>
      <c r="J65" s="1"/>
    </row>
    <row r="66" spans="1:10" x14ac:dyDescent="0.3">
      <c r="A66">
        <v>1</v>
      </c>
      <c r="B66" s="1">
        <v>6.4154799999999998E-2</v>
      </c>
      <c r="C66" s="1">
        <v>97974.399999999994</v>
      </c>
      <c r="H66">
        <f t="shared" si="0"/>
        <v>0.63875759540065535</v>
      </c>
      <c r="I66" s="1">
        <f>(Equation_Sheet!$B$2-'0.68'!C66)/'0.68'!$T$2</f>
        <v>0.1178147224157018</v>
      </c>
      <c r="J66" s="1"/>
    </row>
    <row r="67" spans="1:10" x14ac:dyDescent="0.3">
      <c r="A67">
        <v>1</v>
      </c>
      <c r="B67" s="1">
        <v>7.2268399999999997E-2</v>
      </c>
      <c r="C67" s="1">
        <v>98744.8</v>
      </c>
      <c r="H67">
        <f t="shared" ref="H67:H80" si="1">(B67-$E$2)/$F$2</f>
        <v>0.6879109694851181</v>
      </c>
      <c r="I67" s="1">
        <f>(Equation_Sheet!$B$2-'0.68'!C67)/'0.68'!$T$2</f>
        <v>9.0725704881810101E-2</v>
      </c>
      <c r="J67" s="1"/>
    </row>
    <row r="68" spans="1:10" x14ac:dyDescent="0.3">
      <c r="A68">
        <v>1</v>
      </c>
      <c r="B68" s="1">
        <v>7.9800399999999994E-2</v>
      </c>
      <c r="C68" s="1">
        <v>99500.6</v>
      </c>
      <c r="H68">
        <f t="shared" si="1"/>
        <v>0.73354092580588481</v>
      </c>
      <c r="I68" s="1">
        <f>(Equation_Sheet!$B$2-'0.68'!C68)/'0.68'!$T$2</f>
        <v>6.4150056579479892E-2</v>
      </c>
      <c r="J68" s="1"/>
    </row>
    <row r="69" spans="1:10" x14ac:dyDescent="0.3">
      <c r="A69">
        <v>1</v>
      </c>
      <c r="B69" s="1">
        <v>8.6670899999999995E-2</v>
      </c>
      <c r="C69" s="1">
        <v>100429</v>
      </c>
      <c r="H69">
        <f t="shared" si="1"/>
        <v>0.77516341849067349</v>
      </c>
      <c r="I69" s="1">
        <f>(Equation_Sheet!$B$2-'0.68'!C69)/'0.68'!$T$2</f>
        <v>3.1505399416363829E-2</v>
      </c>
      <c r="J69" s="1"/>
    </row>
    <row r="70" spans="1:10" x14ac:dyDescent="0.3">
      <c r="A70">
        <v>1</v>
      </c>
      <c r="B70" s="1">
        <v>9.2838599999999993E-2</v>
      </c>
      <c r="C70" s="1">
        <v>101040</v>
      </c>
      <c r="H70">
        <f t="shared" si="1"/>
        <v>0.81252824610612651</v>
      </c>
      <c r="I70" s="1">
        <f>(Equation_Sheet!$B$2-'0.68'!C70)/'0.68'!$T$2</f>
        <v>1.0021248698285369E-2</v>
      </c>
      <c r="J70" s="1"/>
    </row>
    <row r="71" spans="1:10" x14ac:dyDescent="0.3">
      <c r="A71">
        <v>1</v>
      </c>
      <c r="B71" s="1">
        <v>9.8296599999999998E-2</v>
      </c>
      <c r="C71" s="1">
        <v>101966</v>
      </c>
      <c r="H71">
        <f t="shared" si="1"/>
        <v>0.84559360744424983</v>
      </c>
      <c r="I71" s="1">
        <f>(Equation_Sheet!$B$2-'0.68'!C71)/'0.68'!$T$2</f>
        <v>-2.2539019002108498E-2</v>
      </c>
      <c r="J71" s="1"/>
    </row>
    <row r="72" spans="1:10" x14ac:dyDescent="0.3">
      <c r="A72">
        <v>1</v>
      </c>
      <c r="B72" s="1">
        <v>0.103065</v>
      </c>
      <c r="C72" s="1">
        <v>103082</v>
      </c>
      <c r="H72">
        <f t="shared" si="1"/>
        <v>0.87448127124137465</v>
      </c>
      <c r="I72" s="1">
        <f>(Equation_Sheet!$B$2-'0.68'!C72)/'0.68'!$T$2</f>
        <v>-6.1780119168025942E-2</v>
      </c>
      <c r="J72" s="1"/>
    </row>
    <row r="73" spans="1:10" x14ac:dyDescent="0.3">
      <c r="A73">
        <v>1</v>
      </c>
      <c r="B73" s="1">
        <v>0.107186</v>
      </c>
      <c r="C73" s="1">
        <v>103274</v>
      </c>
      <c r="H73">
        <f t="shared" si="1"/>
        <v>0.8994468912623359</v>
      </c>
      <c r="I73" s="1">
        <f>(Equation_Sheet!$B$2-'0.68'!C73)/'0.68'!$T$2</f>
        <v>-6.8531276185818182E-2</v>
      </c>
      <c r="J73" s="1"/>
    </row>
    <row r="74" spans="1:10" x14ac:dyDescent="0.3">
      <c r="A74">
        <v>1</v>
      </c>
      <c r="B74" s="1">
        <v>0.11071300000000001</v>
      </c>
      <c r="C74" s="1">
        <v>105556</v>
      </c>
      <c r="H74">
        <f t="shared" si="1"/>
        <v>0.92081397250813313</v>
      </c>
      <c r="I74" s="1">
        <f>(Equation_Sheet!$B$2-'0.68'!C74)/'0.68'!$T$2</f>
        <v>-0.14877159032436982</v>
      </c>
      <c r="J74" s="1"/>
    </row>
    <row r="75" spans="1:10" x14ac:dyDescent="0.3">
      <c r="A75">
        <v>1</v>
      </c>
      <c r="B75" s="1">
        <v>0.113707</v>
      </c>
      <c r="C75" s="1">
        <v>106238</v>
      </c>
      <c r="H75">
        <f t="shared" si="1"/>
        <v>0.93895206189002045</v>
      </c>
      <c r="I75" s="1">
        <f>(Equation_Sheet!$B$2-'0.68'!C75)/'0.68'!$T$2</f>
        <v>-0.17275226264798602</v>
      </c>
      <c r="J75" s="1"/>
    </row>
    <row r="76" spans="1:10" x14ac:dyDescent="0.3">
      <c r="A76">
        <v>1</v>
      </c>
      <c r="B76" s="1">
        <v>0.11623</v>
      </c>
      <c r="C76" s="1">
        <v>105249</v>
      </c>
      <c r="H76">
        <f t="shared" si="1"/>
        <v>0.95423676446533834</v>
      </c>
      <c r="I76" s="1">
        <f>(Equation_Sheet!$B$2-'0.68'!C76)/'0.68'!$T$2</f>
        <v>-0.13797677155112908</v>
      </c>
      <c r="J76" s="1"/>
    </row>
    <row r="77" spans="1:10" x14ac:dyDescent="0.3">
      <c r="A77">
        <v>1</v>
      </c>
      <c r="B77" s="1">
        <v>0.118344</v>
      </c>
      <c r="C77" s="1">
        <v>114905</v>
      </c>
      <c r="H77">
        <f t="shared" si="1"/>
        <v>0.96704368529142715</v>
      </c>
      <c r="I77" s="1">
        <f>(Equation_Sheet!$B$2-'0.68'!C77)/'0.68'!$T$2</f>
        <v>-0.47750370990426422</v>
      </c>
      <c r="J77" s="1"/>
    </row>
    <row r="78" spans="1:10" x14ac:dyDescent="0.3">
      <c r="A78">
        <v>1</v>
      </c>
      <c r="B78" s="1">
        <v>0.12010800000000001</v>
      </c>
      <c r="C78" s="1">
        <v>107528</v>
      </c>
      <c r="H78">
        <f t="shared" si="1"/>
        <v>0.97773025498736865</v>
      </c>
      <c r="I78" s="1">
        <f>(Equation_Sheet!$B$2-'0.68'!C78)/'0.68'!$T$2</f>
        <v>-0.21811159886127771</v>
      </c>
      <c r="J78" s="1"/>
    </row>
    <row r="79" spans="1:10" x14ac:dyDescent="0.3">
      <c r="A79">
        <v>1</v>
      </c>
      <c r="B79" s="1">
        <v>0.121572</v>
      </c>
      <c r="C79" s="1">
        <v>117231</v>
      </c>
      <c r="H79">
        <f t="shared" si="1"/>
        <v>0.9865993808574699</v>
      </c>
      <c r="I79" s="1">
        <f>(Equation_Sheet!$B$2-'0.68'!C79)/'0.68'!$T$2</f>
        <v>-0.55929116419272662</v>
      </c>
      <c r="J79" s="1"/>
    </row>
    <row r="80" spans="1:10" x14ac:dyDescent="0.3">
      <c r="A80">
        <v>1</v>
      </c>
      <c r="B80" s="1">
        <v>0.122784</v>
      </c>
      <c r="C80" s="1">
        <v>133272</v>
      </c>
      <c r="H80">
        <f t="shared" si="1"/>
        <v>0.99394185391386525</v>
      </c>
      <c r="I80" s="1">
        <f>(Equation_Sheet!$B$2-'0.68'!C80)/'0.68'!$T$2</f>
        <v>-1.1233292356635884</v>
      </c>
      <c r="J80" s="1"/>
    </row>
    <row r="81" spans="9:10" x14ac:dyDescent="0.3">
      <c r="I81" s="1"/>
      <c r="J81" s="1"/>
    </row>
    <row r="82" spans="9:10" x14ac:dyDescent="0.3">
      <c r="J82" s="1"/>
    </row>
  </sheetData>
  <sortState xmlns:xlrd2="http://schemas.microsoft.com/office/spreadsheetml/2017/richdata2" ref="A2:C82">
    <sortCondition descending="1" ref="A1:A82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3EDC-6E1B-4601-9B64-BB8FA7B95D3A}">
  <dimension ref="A1:T80"/>
  <sheetViews>
    <sheetView workbookViewId="0">
      <selection activeCell="T2" sqref="T2"/>
    </sheetView>
  </sheetViews>
  <sheetFormatPr defaultRowHeight="16.5" x14ac:dyDescent="0.3"/>
  <cols>
    <col min="2" max="5" width="9" style="1"/>
  </cols>
  <sheetData>
    <row r="1" spans="1:20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</row>
    <row r="2" spans="1:20" x14ac:dyDescent="0.3">
      <c r="A2">
        <v>2</v>
      </c>
      <c r="B2" s="1">
        <v>-4.1184499999999999E-2</v>
      </c>
      <c r="C2" s="1">
        <v>130727</v>
      </c>
      <c r="E2">
        <f>MIN(B:B)</f>
        <v>-4.1283E-2</v>
      </c>
      <c r="F2">
        <f>E3-E2</f>
        <v>0.16506700000000002</v>
      </c>
      <c r="H2">
        <f>(B2-$E$2)/$F$2</f>
        <v>5.9672738948427818E-4</v>
      </c>
      <c r="I2" s="1">
        <f>(Equation_Sheet!$B$2-'0.8'!C2)/'0.8'!$T$2</f>
        <v>-0.77590100300650444</v>
      </c>
      <c r="R2">
        <v>0.95</v>
      </c>
      <c r="S2">
        <f>R2*Equation_Sheet!$D$2</f>
        <v>248.70941840919195</v>
      </c>
      <c r="T2">
        <f>(Equation_Sheet!$E$2*'0.8'!S2^2)/2</f>
        <v>37894.009527080765</v>
      </c>
    </row>
    <row r="3" spans="1:20" x14ac:dyDescent="0.3">
      <c r="A3">
        <v>2</v>
      </c>
      <c r="B3" s="1">
        <v>-4.0910599999999998E-2</v>
      </c>
      <c r="C3" s="1">
        <v>133321</v>
      </c>
      <c r="E3">
        <f>MAX(B:B)</f>
        <v>0.12378400000000001</v>
      </c>
      <c r="H3">
        <f t="shared" ref="H3:H66" si="0">(B3-$E$2)/$F$2</f>
        <v>2.2560536024765813E-3</v>
      </c>
      <c r="I3" s="1">
        <f>(Equation_Sheet!$B$2-'0.8'!C3)/'0.8'!$T$2</f>
        <v>-0.84435509462608382</v>
      </c>
    </row>
    <row r="4" spans="1:20" x14ac:dyDescent="0.3">
      <c r="A4">
        <v>2</v>
      </c>
      <c r="B4" s="1">
        <v>-4.04312E-2</v>
      </c>
      <c r="C4" s="1">
        <v>115476</v>
      </c>
      <c r="H4">
        <f t="shared" si="0"/>
        <v>5.1603288361695534E-3</v>
      </c>
      <c r="I4" s="1">
        <f>(Equation_Sheet!$B$2-'0.8'!C4)/'0.8'!$T$2</f>
        <v>-0.3734363340434339</v>
      </c>
    </row>
    <row r="5" spans="1:20" x14ac:dyDescent="0.3">
      <c r="A5">
        <v>2</v>
      </c>
      <c r="B5" s="1">
        <v>-3.9751000000000002E-2</v>
      </c>
      <c r="C5" s="1">
        <v>105057</v>
      </c>
      <c r="H5">
        <f t="shared" si="0"/>
        <v>9.2810798039583836E-3</v>
      </c>
      <c r="I5" s="1">
        <f>(Equation_Sheet!$B$2-'0.8'!C5)/'0.8'!$T$2</f>
        <v>-9.848522356371249E-2</v>
      </c>
    </row>
    <row r="6" spans="1:20" x14ac:dyDescent="0.3">
      <c r="A6">
        <v>2</v>
      </c>
      <c r="B6" s="1">
        <v>-3.8819800000000002E-2</v>
      </c>
      <c r="C6" s="1">
        <v>94724.5</v>
      </c>
      <c r="H6">
        <f t="shared" si="0"/>
        <v>1.4922425439367035E-2</v>
      </c>
      <c r="I6" s="1">
        <f>(Equation_Sheet!$B$2-'0.8'!C6)/'0.8'!$T$2</f>
        <v>0.17418320421551026</v>
      </c>
    </row>
    <row r="7" spans="1:20" x14ac:dyDescent="0.3">
      <c r="A7">
        <v>2</v>
      </c>
      <c r="B7" s="1">
        <v>-3.7612399999999997E-2</v>
      </c>
      <c r="C7" s="1">
        <v>87348.7</v>
      </c>
      <c r="H7">
        <f t="shared" si="0"/>
        <v>2.2237031023766122E-2</v>
      </c>
      <c r="I7" s="1">
        <f>(Equation_Sheet!$B$2-'0.8'!C7)/'0.8'!$T$2</f>
        <v>0.36882610667028809</v>
      </c>
    </row>
    <row r="8" spans="1:20" x14ac:dyDescent="0.3">
      <c r="A8">
        <v>2</v>
      </c>
      <c r="B8" s="1">
        <v>-3.6096099999999999E-2</v>
      </c>
      <c r="C8" s="1">
        <v>81933.899999999994</v>
      </c>
      <c r="H8">
        <f t="shared" si="0"/>
        <v>3.1422997934172185E-2</v>
      </c>
      <c r="I8" s="1">
        <f>(Equation_Sheet!$B$2-'0.8'!C8)/'0.8'!$T$2</f>
        <v>0.51171940478196831</v>
      </c>
    </row>
    <row r="9" spans="1:20" x14ac:dyDescent="0.3">
      <c r="A9">
        <v>2</v>
      </c>
      <c r="B9" s="1">
        <v>-3.4229799999999998E-2</v>
      </c>
      <c r="C9" s="1">
        <v>76600.5</v>
      </c>
      <c r="H9">
        <f t="shared" si="0"/>
        <v>4.2729315974725422E-2</v>
      </c>
      <c r="I9" s="1">
        <f>(Equation_Sheet!$B$2-'0.8'!C9)/'0.8'!$T$2</f>
        <v>0.65246460610959522</v>
      </c>
    </row>
    <row r="10" spans="1:20" x14ac:dyDescent="0.3">
      <c r="A10">
        <v>2</v>
      </c>
      <c r="B10" s="1">
        <v>-3.1964699999999999E-2</v>
      </c>
      <c r="C10" s="1">
        <v>70381.3</v>
      </c>
      <c r="H10">
        <f t="shared" si="0"/>
        <v>5.6451622674429172E-2</v>
      </c>
      <c r="I10" s="1">
        <f>(Equation_Sheet!$B$2-'0.8'!C10)/'0.8'!$T$2</f>
        <v>0.81658553386614408</v>
      </c>
    </row>
    <row r="11" spans="1:20" x14ac:dyDescent="0.3">
      <c r="A11">
        <v>2</v>
      </c>
      <c r="B11" s="1">
        <v>-2.9246100000000001E-2</v>
      </c>
      <c r="C11" s="1">
        <v>70459.199999999997</v>
      </c>
      <c r="H11">
        <f t="shared" si="0"/>
        <v>7.2921298624195011E-2</v>
      </c>
      <c r="I11" s="1">
        <f>(Equation_Sheet!$B$2-'0.8'!C11)/'0.8'!$T$2</f>
        <v>0.81452979996592634</v>
      </c>
    </row>
    <row r="12" spans="1:20" x14ac:dyDescent="0.3">
      <c r="A12">
        <v>2</v>
      </c>
      <c r="B12" s="1">
        <v>-2.6016000000000001E-2</v>
      </c>
      <c r="C12" s="1">
        <v>69769.2</v>
      </c>
      <c r="H12">
        <f t="shared" si="0"/>
        <v>9.248971629701877E-2</v>
      </c>
      <c r="I12" s="1">
        <f>(Equation_Sheet!$B$2-'0.8'!C12)/'0.8'!$T$2</f>
        <v>0.83273848277915297</v>
      </c>
    </row>
    <row r="13" spans="1:20" x14ac:dyDescent="0.3">
      <c r="A13">
        <v>2</v>
      </c>
      <c r="B13" s="1">
        <v>-2.2216400000000001E-2</v>
      </c>
      <c r="C13" s="1">
        <v>69773.2</v>
      </c>
      <c r="H13">
        <f t="shared" si="0"/>
        <v>0.11550824816589626</v>
      </c>
      <c r="I13" s="1">
        <f>(Equation_Sheet!$B$2-'0.8'!C13)/'0.8'!$T$2</f>
        <v>0.83263292519762699</v>
      </c>
    </row>
    <row r="14" spans="1:20" x14ac:dyDescent="0.3">
      <c r="A14">
        <v>2</v>
      </c>
      <c r="B14" s="1">
        <v>-1.7793699999999999E-2</v>
      </c>
      <c r="C14" s="1">
        <v>71226.899999999994</v>
      </c>
      <c r="H14">
        <f t="shared" si="0"/>
        <v>0.14230161086104429</v>
      </c>
      <c r="I14" s="1">
        <f>(Equation_Sheet!$B$2-'0.8'!C14)/'0.8'!$T$2</f>
        <v>0.7942706611315582</v>
      </c>
    </row>
    <row r="15" spans="1:20" x14ac:dyDescent="0.3">
      <c r="A15">
        <v>2</v>
      </c>
      <c r="B15" s="1">
        <v>-1.27049E-2</v>
      </c>
      <c r="C15" s="1">
        <v>71819.7</v>
      </c>
      <c r="H15">
        <f t="shared" si="0"/>
        <v>0.17313030466416665</v>
      </c>
      <c r="I15" s="1">
        <f>(Equation_Sheet!$B$2-'0.8'!C15)/'0.8'!$T$2</f>
        <v>0.77862702754941215</v>
      </c>
    </row>
    <row r="16" spans="1:20" x14ac:dyDescent="0.3">
      <c r="A16">
        <v>2</v>
      </c>
      <c r="B16" s="1">
        <v>-6.92334E-3</v>
      </c>
      <c r="C16" s="1">
        <v>74923.3</v>
      </c>
      <c r="H16">
        <f t="shared" si="0"/>
        <v>0.20815583974991972</v>
      </c>
      <c r="I16" s="1">
        <f>(Equation_Sheet!$B$2-'0.8'!C16)/'0.8'!$T$2</f>
        <v>0.69672490004342646</v>
      </c>
    </row>
    <row r="17" spans="1:9" x14ac:dyDescent="0.3">
      <c r="A17">
        <v>2</v>
      </c>
      <c r="B17" s="1">
        <v>-4.46744E-4</v>
      </c>
      <c r="C17" s="1">
        <v>77534.5</v>
      </c>
      <c r="H17">
        <f t="shared" si="0"/>
        <v>0.2473920044587955</v>
      </c>
      <c r="I17" s="1">
        <f>(Equation_Sheet!$B$2-'0.8'!C17)/'0.8'!$T$2</f>
        <v>0.62781691082328561</v>
      </c>
    </row>
    <row r="18" spans="1:9" x14ac:dyDescent="0.3">
      <c r="A18">
        <v>2</v>
      </c>
      <c r="B18" s="1">
        <v>6.69683E-3</v>
      </c>
      <c r="C18" s="1">
        <v>80428.800000000003</v>
      </c>
      <c r="H18">
        <f t="shared" si="0"/>
        <v>0.29066881932790922</v>
      </c>
      <c r="I18" s="1">
        <f>(Equation_Sheet!$B$2-'0.8'!C18)/'0.8'!$T$2</f>
        <v>0.5514380837706454</v>
      </c>
    </row>
    <row r="19" spans="1:9" x14ac:dyDescent="0.3">
      <c r="A19">
        <v>2</v>
      </c>
      <c r="B19" s="1">
        <v>1.4444E-2</v>
      </c>
      <c r="C19" s="1">
        <v>82758.399999999994</v>
      </c>
      <c r="H19">
        <f t="shared" si="0"/>
        <v>0.33760230694202953</v>
      </c>
      <c r="I19" s="1">
        <f>(Equation_Sheet!$B$2-'0.8'!C19)/'0.8'!$T$2</f>
        <v>0.4899613482899316</v>
      </c>
    </row>
    <row r="20" spans="1:9" x14ac:dyDescent="0.3">
      <c r="A20">
        <v>2</v>
      </c>
      <c r="B20" s="1">
        <v>2.2694200000000001E-2</v>
      </c>
      <c r="C20" s="1">
        <v>85163.1</v>
      </c>
      <c r="H20">
        <f t="shared" si="0"/>
        <v>0.38758322378185822</v>
      </c>
      <c r="I20" s="1">
        <f>(Equation_Sheet!$B$2-'0.8'!C20)/'0.8'!$T$2</f>
        <v>0.42650276921606761</v>
      </c>
    </row>
    <row r="21" spans="1:9" x14ac:dyDescent="0.3">
      <c r="A21">
        <v>2</v>
      </c>
      <c r="B21" s="1">
        <v>3.1312600000000003E-2</v>
      </c>
      <c r="C21" s="1">
        <v>87365</v>
      </c>
      <c r="H21">
        <f t="shared" si="0"/>
        <v>0.43979475001060175</v>
      </c>
      <c r="I21" s="1">
        <f>(Equation_Sheet!$B$2-'0.8'!C21)/'0.8'!$T$2</f>
        <v>0.36839595952556975</v>
      </c>
    </row>
    <row r="22" spans="1:9" x14ac:dyDescent="0.3">
      <c r="A22">
        <v>2</v>
      </c>
      <c r="B22" s="1">
        <v>4.0136400000000003E-2</v>
      </c>
      <c r="C22" s="1">
        <v>89505.9</v>
      </c>
      <c r="H22">
        <f t="shared" si="0"/>
        <v>0.49325061944543724</v>
      </c>
      <c r="I22" s="1">
        <f>(Equation_Sheet!$B$2-'0.8'!C22)/'0.8'!$T$2</f>
        <v>0.31189890295334266</v>
      </c>
    </row>
    <row r="23" spans="1:9" x14ac:dyDescent="0.3">
      <c r="A23">
        <v>2</v>
      </c>
      <c r="B23" s="1">
        <v>4.8986799999999997E-2</v>
      </c>
      <c r="C23" s="1">
        <v>91461.2</v>
      </c>
      <c r="H23">
        <f t="shared" si="0"/>
        <v>0.54686763556616391</v>
      </c>
      <c r="I23" s="1">
        <f>(Equation_Sheet!$B$2-'0.8'!C23)/'0.8'!$T$2</f>
        <v>0.2602997181639195</v>
      </c>
    </row>
    <row r="24" spans="1:9" x14ac:dyDescent="0.3">
      <c r="A24">
        <v>2</v>
      </c>
      <c r="B24" s="1">
        <v>5.7682400000000002E-2</v>
      </c>
      <c r="C24" s="1">
        <v>93256.1</v>
      </c>
      <c r="H24">
        <f t="shared" si="0"/>
        <v>0.59954685067275715</v>
      </c>
      <c r="I24" s="1">
        <f>(Equation_Sheet!$B$2-'0.8'!C24)/'0.8'!$T$2</f>
        <v>0.2129333923936868</v>
      </c>
    </row>
    <row r="25" spans="1:9" x14ac:dyDescent="0.3">
      <c r="A25">
        <v>2</v>
      </c>
      <c r="B25" s="1">
        <v>6.6054000000000002E-2</v>
      </c>
      <c r="C25" s="1">
        <v>94942.5</v>
      </c>
      <c r="H25">
        <f t="shared" si="0"/>
        <v>0.6502632264474425</v>
      </c>
      <c r="I25" s="1">
        <f>(Equation_Sheet!$B$2-'0.8'!C25)/'0.8'!$T$2</f>
        <v>0.1684303160223459</v>
      </c>
    </row>
    <row r="26" spans="1:9" x14ac:dyDescent="0.3">
      <c r="A26">
        <v>2</v>
      </c>
      <c r="B26" s="1">
        <v>7.3956800000000003E-2</v>
      </c>
      <c r="C26" s="1">
        <v>96294.6</v>
      </c>
      <c r="H26">
        <f t="shared" si="0"/>
        <v>0.69813954333694794</v>
      </c>
      <c r="I26" s="1">
        <f>(Equation_Sheet!$B$2-'0.8'!C26)/'0.8'!$T$2</f>
        <v>0.13274921452703609</v>
      </c>
    </row>
    <row r="27" spans="1:9" x14ac:dyDescent="0.3">
      <c r="A27">
        <v>2</v>
      </c>
      <c r="B27" s="1">
        <v>8.1279299999999999E-2</v>
      </c>
      <c r="C27" s="1">
        <v>98006.7</v>
      </c>
      <c r="H27">
        <f t="shared" si="0"/>
        <v>0.74250031805266947</v>
      </c>
      <c r="I27" s="1">
        <f>(Equation_Sheet!$B$2-'0.8'!C27)/'0.8'!$T$2</f>
        <v>8.7567930694391061E-2</v>
      </c>
    </row>
    <row r="28" spans="1:9" x14ac:dyDescent="0.3">
      <c r="A28">
        <v>2</v>
      </c>
      <c r="B28" s="1">
        <v>8.7947899999999996E-2</v>
      </c>
      <c r="C28" s="1">
        <v>99498.2</v>
      </c>
      <c r="H28">
        <f t="shared" si="0"/>
        <v>0.78289967104266733</v>
      </c>
      <c r="I28" s="1">
        <f>(Equation_Sheet!$B$2-'0.8'!C28)/'0.8'!$T$2</f>
        <v>4.8208147482901996E-2</v>
      </c>
    </row>
    <row r="29" spans="1:9" x14ac:dyDescent="0.3">
      <c r="A29">
        <v>2</v>
      </c>
      <c r="B29" s="1">
        <v>9.3925599999999998E-2</v>
      </c>
      <c r="C29" s="1">
        <v>100642</v>
      </c>
      <c r="H29">
        <f t="shared" si="0"/>
        <v>0.81911345090175502</v>
      </c>
      <c r="I29" s="1">
        <f>(Equation_Sheet!$B$2-'0.8'!C29)/'0.8'!$T$2</f>
        <v>1.802395704555617E-2</v>
      </c>
    </row>
    <row r="30" spans="1:9" x14ac:dyDescent="0.3">
      <c r="A30">
        <v>2</v>
      </c>
      <c r="B30" s="1">
        <v>9.9208299999999999E-2</v>
      </c>
      <c r="C30" s="1">
        <v>101935</v>
      </c>
      <c r="H30">
        <f t="shared" si="0"/>
        <v>0.85111681923097871</v>
      </c>
      <c r="I30" s="1">
        <f>(Equation_Sheet!$B$2-'0.8'!C30)/'0.8'!$T$2</f>
        <v>-1.6097531182707559E-2</v>
      </c>
    </row>
    <row r="31" spans="1:9" x14ac:dyDescent="0.3">
      <c r="A31">
        <v>2</v>
      </c>
      <c r="B31" s="1">
        <v>0.10381899999999999</v>
      </c>
      <c r="C31" s="1">
        <v>103938</v>
      </c>
      <c r="H31">
        <f t="shared" si="0"/>
        <v>0.87904911339032021</v>
      </c>
      <c r="I31" s="1">
        <f>(Equation_Sheet!$B$2-'0.8'!C31)/'0.8'!$T$2</f>
        <v>-6.8955490131827626E-2</v>
      </c>
    </row>
    <row r="32" spans="1:9" x14ac:dyDescent="0.3">
      <c r="A32">
        <v>2</v>
      </c>
      <c r="B32" s="1">
        <v>0.107798</v>
      </c>
      <c r="C32" s="1">
        <v>104151</v>
      </c>
      <c r="H32">
        <f t="shared" si="0"/>
        <v>0.9031544766670504</v>
      </c>
      <c r="I32" s="1">
        <f>(Equation_Sheet!$B$2-'0.8'!C32)/'0.8'!$T$2</f>
        <v>-7.4576431348084532E-2</v>
      </c>
    </row>
    <row r="33" spans="1:9" x14ac:dyDescent="0.3">
      <c r="A33">
        <v>2</v>
      </c>
      <c r="B33" s="1">
        <v>0.11120099999999999</v>
      </c>
      <c r="C33" s="1">
        <v>107506</v>
      </c>
      <c r="H33">
        <f t="shared" si="0"/>
        <v>0.9237703477981668</v>
      </c>
      <c r="I33" s="1">
        <f>(Equation_Sheet!$B$2-'0.8'!C33)/'0.8'!$T$2</f>
        <v>-0.16311285285297611</v>
      </c>
    </row>
    <row r="34" spans="1:9" x14ac:dyDescent="0.3">
      <c r="A34">
        <v>2</v>
      </c>
      <c r="B34" s="1">
        <v>0.11408699999999999</v>
      </c>
      <c r="C34" s="1">
        <v>107483</v>
      </c>
      <c r="H34">
        <f t="shared" si="0"/>
        <v>0.94125415740275153</v>
      </c>
      <c r="I34" s="1">
        <f>(Equation_Sheet!$B$2-'0.8'!C34)/'0.8'!$T$2</f>
        <v>-0.16250589675920191</v>
      </c>
    </row>
    <row r="35" spans="1:9" x14ac:dyDescent="0.3">
      <c r="A35">
        <v>2</v>
      </c>
      <c r="B35" s="1">
        <v>0.116517</v>
      </c>
      <c r="C35" s="1">
        <v>108116</v>
      </c>
      <c r="H35">
        <f t="shared" si="0"/>
        <v>0.95597545239205883</v>
      </c>
      <c r="I35" s="1">
        <f>(Equation_Sheet!$B$2-'0.8'!C35)/'0.8'!$T$2</f>
        <v>-0.17921038403568368</v>
      </c>
    </row>
    <row r="36" spans="1:9" x14ac:dyDescent="0.3">
      <c r="A36">
        <v>2</v>
      </c>
      <c r="B36" s="1">
        <v>0.11855300000000001</v>
      </c>
      <c r="C36" s="1">
        <v>118095</v>
      </c>
      <c r="H36">
        <f t="shared" si="0"/>
        <v>0.96830983782342916</v>
      </c>
      <c r="I36" s="1">
        <f>(Equation_Sheet!$B$2-'0.8'!C36)/'0.8'!$T$2</f>
        <v>-0.44255016054755048</v>
      </c>
    </row>
    <row r="37" spans="1:9" x14ac:dyDescent="0.3">
      <c r="A37">
        <v>2</v>
      </c>
      <c r="B37" s="1">
        <v>0.12024899999999999</v>
      </c>
      <c r="C37" s="1">
        <v>111149</v>
      </c>
      <c r="H37">
        <f t="shared" si="0"/>
        <v>0.97858445358551371</v>
      </c>
      <c r="I37" s="1">
        <f>(Equation_Sheet!$B$2-'0.8'!C37)/'0.8'!$T$2</f>
        <v>-0.25924942022773617</v>
      </c>
    </row>
    <row r="38" spans="1:9" x14ac:dyDescent="0.3">
      <c r="A38">
        <v>2</v>
      </c>
      <c r="B38" s="1">
        <v>0.121658</v>
      </c>
      <c r="C38" s="1">
        <v>121094</v>
      </c>
      <c r="H38">
        <f t="shared" si="0"/>
        <v>0.98712038142087744</v>
      </c>
      <c r="I38" s="1">
        <f>(Equation_Sheet!$B$2-'0.8'!C38)/'0.8'!$T$2</f>
        <v>-0.52169195729663242</v>
      </c>
    </row>
    <row r="39" spans="1:9" x14ac:dyDescent="0.3">
      <c r="A39">
        <v>2</v>
      </c>
      <c r="B39" s="1">
        <v>0.122822</v>
      </c>
      <c r="C39" s="1">
        <v>139437</v>
      </c>
      <c r="H39">
        <f t="shared" si="0"/>
        <v>0.99417206346513831</v>
      </c>
      <c r="I39" s="1">
        <f>(Equation_Sheet!$B$2-'0.8'!C39)/'0.8'!$T$2</f>
        <v>-1.0057526367792633</v>
      </c>
    </row>
    <row r="40" spans="1:9" x14ac:dyDescent="0.3">
      <c r="A40">
        <v>2</v>
      </c>
      <c r="B40" s="1">
        <v>0.12378400000000001</v>
      </c>
      <c r="C40" s="1">
        <v>100046</v>
      </c>
      <c r="H40">
        <f t="shared" si="0"/>
        <v>1</v>
      </c>
      <c r="I40" s="1">
        <f>(Equation_Sheet!$B$2-'0.8'!C40)/'0.8'!$T$2</f>
        <v>3.3752036692922899E-2</v>
      </c>
    </row>
    <row r="41" spans="1:9" x14ac:dyDescent="0.3">
      <c r="I41" s="1"/>
    </row>
    <row r="42" spans="1:9" x14ac:dyDescent="0.3">
      <c r="A42">
        <v>1</v>
      </c>
      <c r="B42" s="1">
        <v>-4.1283E-2</v>
      </c>
      <c r="C42" s="1">
        <v>136235</v>
      </c>
      <c r="H42">
        <f t="shared" si="0"/>
        <v>0</v>
      </c>
      <c r="I42" s="1">
        <f>(Equation_Sheet!$B$2-'0.8'!C42)/'0.8'!$T$2</f>
        <v>-0.92125379276773922</v>
      </c>
    </row>
    <row r="43" spans="1:9" x14ac:dyDescent="0.3">
      <c r="A43">
        <v>1</v>
      </c>
      <c r="B43" s="1">
        <v>-4.1261199999999998E-2</v>
      </c>
      <c r="C43" s="1">
        <v>124459</v>
      </c>
      <c r="H43">
        <f t="shared" si="0"/>
        <v>1.3206758467775129E-4</v>
      </c>
      <c r="I43" s="1">
        <f>(Equation_Sheet!$B$2-'0.8'!C43)/'0.8'!$T$2</f>
        <v>-0.61049227275533891</v>
      </c>
    </row>
    <row r="44" spans="1:9" x14ac:dyDescent="0.3">
      <c r="A44">
        <v>1</v>
      </c>
      <c r="B44" s="1">
        <v>-4.1144699999999999E-2</v>
      </c>
      <c r="C44" s="1">
        <v>127536</v>
      </c>
      <c r="H44">
        <f t="shared" si="0"/>
        <v>8.3784160371243744E-4</v>
      </c>
      <c r="I44" s="1">
        <f>(Equation_Sheet!$B$2-'0.8'!C44)/'0.8'!$T$2</f>
        <v>-0.69169244234417682</v>
      </c>
    </row>
    <row r="45" spans="1:9" x14ac:dyDescent="0.3">
      <c r="A45">
        <v>1</v>
      </c>
      <c r="B45" s="1">
        <v>-4.0884499999999997E-2</v>
      </c>
      <c r="C45" s="1">
        <v>119992</v>
      </c>
      <c r="H45">
        <f t="shared" si="0"/>
        <v>2.4141712153247044E-3</v>
      </c>
      <c r="I45" s="1">
        <f>(Equation_Sheet!$B$2-'0.8'!C45)/'0.8'!$T$2</f>
        <v>-0.49261084358623286</v>
      </c>
    </row>
    <row r="46" spans="1:9" x14ac:dyDescent="0.3">
      <c r="A46">
        <v>1</v>
      </c>
      <c r="B46" s="1">
        <v>-4.0419900000000002E-2</v>
      </c>
      <c r="C46" s="1">
        <v>124387</v>
      </c>
      <c r="H46">
        <f t="shared" si="0"/>
        <v>5.2287858869428687E-3</v>
      </c>
      <c r="I46" s="1">
        <f>(Equation_Sheet!$B$2-'0.8'!C46)/'0.8'!$T$2</f>
        <v>-0.60859223628787174</v>
      </c>
    </row>
    <row r="47" spans="1:9" x14ac:dyDescent="0.3">
      <c r="A47">
        <v>1</v>
      </c>
      <c r="B47" s="1">
        <v>-3.9683499999999997E-2</v>
      </c>
      <c r="C47" s="1">
        <v>120401</v>
      </c>
      <c r="H47">
        <f t="shared" si="0"/>
        <v>9.6900046647725082E-3</v>
      </c>
      <c r="I47" s="1">
        <f>(Equation_Sheet!$B$2-'0.8'!C47)/'0.8'!$T$2</f>
        <v>-0.5034041062972614</v>
      </c>
    </row>
    <row r="48" spans="1:9" x14ac:dyDescent="0.3">
      <c r="A48">
        <v>1</v>
      </c>
      <c r="B48" s="1">
        <v>-3.86735E-2</v>
      </c>
      <c r="C48" s="1">
        <v>113160</v>
      </c>
      <c r="H48">
        <f t="shared" si="0"/>
        <v>1.5808732211768557E-2</v>
      </c>
      <c r="I48" s="1">
        <f>(Equation_Sheet!$B$2-'0.8'!C48)/'0.8'!$T$2</f>
        <v>-0.31231849433990816</v>
      </c>
    </row>
    <row r="49" spans="1:9" x14ac:dyDescent="0.3">
      <c r="A49">
        <v>1</v>
      </c>
      <c r="B49" s="1">
        <v>-3.7356300000000002E-2</v>
      </c>
      <c r="C49" s="1">
        <v>106501</v>
      </c>
      <c r="H49">
        <f t="shared" si="0"/>
        <v>2.3788522236425195E-2</v>
      </c>
      <c r="I49" s="1">
        <f>(Equation_Sheet!$B$2-'0.8'!C49)/'0.8'!$T$2</f>
        <v>-0.13659151049458088</v>
      </c>
    </row>
    <row r="50" spans="1:9" x14ac:dyDescent="0.3">
      <c r="A50">
        <v>1</v>
      </c>
      <c r="B50" s="1">
        <v>-3.5689600000000002E-2</v>
      </c>
      <c r="C50" s="1">
        <v>102814</v>
      </c>
      <c r="H50">
        <f t="shared" si="0"/>
        <v>3.3885634318185934E-2</v>
      </c>
      <c r="I50" s="1">
        <f>(Equation_Sheet!$B$2-'0.8'!C50)/'0.8'!$T$2</f>
        <v>-3.9293809723035339E-2</v>
      </c>
    </row>
    <row r="51" spans="1:9" x14ac:dyDescent="0.3">
      <c r="A51">
        <v>1</v>
      </c>
      <c r="B51" s="1">
        <v>-3.3623399999999998E-2</v>
      </c>
      <c r="C51" s="1">
        <v>98601.9</v>
      </c>
      <c r="H51">
        <f t="shared" si="0"/>
        <v>4.6402975761357518E-2</v>
      </c>
      <c r="I51" s="1">
        <f>(Equation_Sheet!$B$2-'0.8'!C51)/'0.8'!$T$2</f>
        <v>7.1860962563329592E-2</v>
      </c>
    </row>
    <row r="52" spans="1:9" x14ac:dyDescent="0.3">
      <c r="A52">
        <v>1</v>
      </c>
      <c r="B52" s="1">
        <v>-3.1100800000000001E-2</v>
      </c>
      <c r="C52" s="1">
        <v>95414.399999999994</v>
      </c>
      <c r="H52">
        <f t="shared" si="0"/>
        <v>6.1685255078240943E-2</v>
      </c>
      <c r="I52" s="1">
        <f>(Equation_Sheet!$B$2-'0.8'!C52)/'0.8'!$T$2</f>
        <v>0.15597716034182196</v>
      </c>
    </row>
    <row r="53" spans="1:9" x14ac:dyDescent="0.3">
      <c r="A53">
        <v>1</v>
      </c>
      <c r="B53" s="1">
        <v>-2.8060600000000002E-2</v>
      </c>
      <c r="C53" s="1">
        <v>92537.600000000006</v>
      </c>
      <c r="H53">
        <f t="shared" si="0"/>
        <v>8.0103230809307716E-2</v>
      </c>
      <c r="I53" s="1">
        <f>(Equation_Sheet!$B$2-'0.8'!C53)/'0.8'!$T$2</f>
        <v>0.23189417297528578</v>
      </c>
    </row>
    <row r="54" spans="1:9" x14ac:dyDescent="0.3">
      <c r="A54">
        <v>1</v>
      </c>
      <c r="B54" s="1">
        <v>-2.44406E-2</v>
      </c>
      <c r="C54" s="1">
        <v>92544.4</v>
      </c>
      <c r="H54">
        <f t="shared" si="0"/>
        <v>0.10203371964111542</v>
      </c>
      <c r="I54" s="1">
        <f>(Equation_Sheet!$B$2-'0.8'!C54)/'0.8'!$T$2</f>
        <v>0.23171472508669197</v>
      </c>
    </row>
    <row r="55" spans="1:9" x14ac:dyDescent="0.3">
      <c r="A55">
        <v>1</v>
      </c>
      <c r="B55" s="1">
        <v>-2.0181899999999999E-2</v>
      </c>
      <c r="C55" s="1">
        <v>91214.2</v>
      </c>
      <c r="H55">
        <f t="shared" si="0"/>
        <v>0.12783354637813735</v>
      </c>
      <c r="I55" s="1">
        <f>(Equation_Sheet!$B$2-'0.8'!C55)/'0.8'!$T$2</f>
        <v>0.26681789882314699</v>
      </c>
    </row>
    <row r="56" spans="1:9" x14ac:dyDescent="0.3">
      <c r="A56">
        <v>1</v>
      </c>
      <c r="B56" s="1">
        <v>-1.52348E-2</v>
      </c>
      <c r="C56" s="1">
        <v>89643.9</v>
      </c>
      <c r="H56">
        <f t="shared" si="0"/>
        <v>0.15780380088085444</v>
      </c>
      <c r="I56" s="1">
        <f>(Equation_Sheet!$B$2-'0.8'!C56)/'0.8'!$T$2</f>
        <v>0.30825716639069733</v>
      </c>
    </row>
    <row r="57" spans="1:9" x14ac:dyDescent="0.3">
      <c r="A57">
        <v>1</v>
      </c>
      <c r="B57" s="1">
        <v>-9.5662899999999999E-3</v>
      </c>
      <c r="C57" s="1">
        <v>89785.9</v>
      </c>
      <c r="H57">
        <f t="shared" si="0"/>
        <v>0.19214446255156997</v>
      </c>
      <c r="I57" s="1">
        <f>(Equation_Sheet!$B$2-'0.8'!C57)/'0.8'!$T$2</f>
        <v>0.30450987224652609</v>
      </c>
    </row>
    <row r="58" spans="1:9" x14ac:dyDescent="0.3">
      <c r="A58">
        <v>1</v>
      </c>
      <c r="B58" s="1">
        <v>-3.1673000000000001E-3</v>
      </c>
      <c r="C58" s="1">
        <v>89564.1</v>
      </c>
      <c r="H58">
        <f t="shared" si="0"/>
        <v>0.23091047877528517</v>
      </c>
      <c r="I58" s="1">
        <f>(Equation_Sheet!$B$2-'0.8'!C58)/'0.8'!$T$2</f>
        <v>0.31036304014213978</v>
      </c>
    </row>
    <row r="59" spans="1:9" x14ac:dyDescent="0.3">
      <c r="A59">
        <v>1</v>
      </c>
      <c r="B59" s="1">
        <v>3.9396300000000004E-3</v>
      </c>
      <c r="C59" s="1">
        <v>89652.6</v>
      </c>
      <c r="H59">
        <f t="shared" si="0"/>
        <v>0.27396529893921856</v>
      </c>
      <c r="I59" s="1">
        <f>(Equation_Sheet!$B$2-'0.8'!C59)/'0.8'!$T$2</f>
        <v>0.3080275786508781</v>
      </c>
    </row>
    <row r="60" spans="1:9" x14ac:dyDescent="0.3">
      <c r="A60">
        <v>1</v>
      </c>
      <c r="B60" s="1">
        <v>1.1694700000000001E-2</v>
      </c>
      <c r="C60" s="1">
        <v>90440.5</v>
      </c>
      <c r="H60">
        <f t="shared" si="0"/>
        <v>0.32094664590741939</v>
      </c>
      <c r="I60" s="1">
        <f>(Equation_Sheet!$B$2-'0.8'!C60)/'0.8'!$T$2</f>
        <v>0.28723537402980398</v>
      </c>
    </row>
    <row r="61" spans="1:9" x14ac:dyDescent="0.3">
      <c r="A61">
        <v>1</v>
      </c>
      <c r="B61" s="1">
        <v>1.9998499999999999E-2</v>
      </c>
      <c r="C61" s="1">
        <v>91306.6</v>
      </c>
      <c r="H61">
        <f t="shared" si="0"/>
        <v>0.37125227937746486</v>
      </c>
      <c r="I61" s="1">
        <f>(Equation_Sheet!$B$2-'0.8'!C61)/'0.8'!$T$2</f>
        <v>0.26437951868989729</v>
      </c>
    </row>
    <row r="62" spans="1:9" x14ac:dyDescent="0.3">
      <c r="A62">
        <v>1</v>
      </c>
      <c r="B62" s="1">
        <v>2.8714E-2</v>
      </c>
      <c r="C62" s="1">
        <v>92464</v>
      </c>
      <c r="H62">
        <f t="shared" si="0"/>
        <v>0.42405205159117204</v>
      </c>
      <c r="I62" s="1">
        <f>(Equation_Sheet!$B$2-'0.8'!C62)/'0.8'!$T$2</f>
        <v>0.23383643247536343</v>
      </c>
    </row>
    <row r="63" spans="1:9" x14ac:dyDescent="0.3">
      <c r="A63">
        <v>1</v>
      </c>
      <c r="B63" s="1">
        <v>3.76738E-2</v>
      </c>
      <c r="C63" s="1">
        <v>93462.2</v>
      </c>
      <c r="H63">
        <f t="shared" si="0"/>
        <v>0.47833182889372183</v>
      </c>
      <c r="I63" s="1">
        <f>(Equation_Sheet!$B$2-'0.8'!C63)/'0.8'!$T$2</f>
        <v>0.20749453800556239</v>
      </c>
    </row>
    <row r="64" spans="1:9" x14ac:dyDescent="0.3">
      <c r="A64">
        <v>1</v>
      </c>
      <c r="B64" s="1">
        <v>4.6691799999999999E-2</v>
      </c>
      <c r="C64" s="1">
        <v>94607.7</v>
      </c>
      <c r="H64">
        <f t="shared" si="0"/>
        <v>0.53296419029848474</v>
      </c>
      <c r="I64" s="1">
        <f>(Equation_Sheet!$B$2-'0.8'!C64)/'0.8'!$T$2</f>
        <v>0.17726548559606811</v>
      </c>
    </row>
    <row r="65" spans="1:9" x14ac:dyDescent="0.3">
      <c r="A65">
        <v>1</v>
      </c>
      <c r="B65" s="1">
        <v>5.5578200000000001E-2</v>
      </c>
      <c r="C65" s="1">
        <v>95794.2</v>
      </c>
      <c r="H65">
        <f t="shared" si="0"/>
        <v>0.58679929967831246</v>
      </c>
      <c r="I65" s="1">
        <f>(Equation_Sheet!$B$2-'0.8'!C65)/'0.8'!$T$2</f>
        <v>0.14595446797593284</v>
      </c>
    </row>
    <row r="66" spans="1:9" x14ac:dyDescent="0.3">
      <c r="A66">
        <v>1</v>
      </c>
      <c r="B66" s="1">
        <v>6.4154799999999998E-2</v>
      </c>
      <c r="C66" s="1">
        <v>97021.6</v>
      </c>
      <c r="H66">
        <f t="shared" si="0"/>
        <v>0.63875759540065535</v>
      </c>
      <c r="I66" s="1">
        <f>(Equation_Sheet!$B$2-'0.8'!C66)/'0.8'!$T$2</f>
        <v>0.11356412408469446</v>
      </c>
    </row>
    <row r="67" spans="1:9" x14ac:dyDescent="0.3">
      <c r="A67">
        <v>1</v>
      </c>
      <c r="B67" s="1">
        <v>7.2268399999999997E-2</v>
      </c>
      <c r="C67" s="1">
        <v>98115.9</v>
      </c>
      <c r="H67">
        <f t="shared" ref="H67:H80" si="1">(B67-$E$2)/$F$2</f>
        <v>0.6879109694851181</v>
      </c>
      <c r="I67" s="1">
        <f>(Equation_Sheet!$B$2-'0.8'!C67)/'0.8'!$T$2</f>
        <v>8.468620871873267E-2</v>
      </c>
    </row>
    <row r="68" spans="1:9" x14ac:dyDescent="0.3">
      <c r="A68">
        <v>1</v>
      </c>
      <c r="B68" s="1">
        <v>7.9800399999999994E-2</v>
      </c>
      <c r="C68" s="1">
        <v>99131.1</v>
      </c>
      <c r="H68">
        <f t="shared" si="1"/>
        <v>0.73354092580588481</v>
      </c>
      <c r="I68" s="1">
        <f>(Equation_Sheet!$B$2-'0.8'!C68)/'0.8'!$T$2</f>
        <v>5.7895694527445939E-2</v>
      </c>
    </row>
    <row r="69" spans="1:9" x14ac:dyDescent="0.3">
      <c r="A69">
        <v>1</v>
      </c>
      <c r="B69" s="1">
        <v>8.6670899999999995E-2</v>
      </c>
      <c r="C69" s="1">
        <v>100337</v>
      </c>
      <c r="H69">
        <f t="shared" si="1"/>
        <v>0.77516341849067349</v>
      </c>
      <c r="I69" s="1">
        <f>(Equation_Sheet!$B$2-'0.8'!C69)/'0.8'!$T$2</f>
        <v>2.6072722636909951E-2</v>
      </c>
    </row>
    <row r="70" spans="1:9" x14ac:dyDescent="0.3">
      <c r="A70">
        <v>1</v>
      </c>
      <c r="B70" s="1">
        <v>9.2838599999999993E-2</v>
      </c>
      <c r="C70" s="1">
        <v>101398</v>
      </c>
      <c r="H70">
        <f t="shared" si="1"/>
        <v>0.81252824610612651</v>
      </c>
      <c r="I70" s="1">
        <f>(Equation_Sheet!$B$2-'0.8'!C70)/'0.8'!$T$2</f>
        <v>-1.9264258628486097E-3</v>
      </c>
    </row>
    <row r="71" spans="1:9" x14ac:dyDescent="0.3">
      <c r="A71">
        <v>1</v>
      </c>
      <c r="B71" s="1">
        <v>9.8296599999999998E-2</v>
      </c>
      <c r="C71" s="1">
        <v>102333</v>
      </c>
      <c r="H71">
        <f t="shared" si="1"/>
        <v>0.84559360744424983</v>
      </c>
      <c r="I71" s="1">
        <f>(Equation_Sheet!$B$2-'0.8'!C71)/'0.8'!$T$2</f>
        <v>-2.6600510544539706E-2</v>
      </c>
    </row>
    <row r="72" spans="1:9" x14ac:dyDescent="0.3">
      <c r="A72">
        <v>1</v>
      </c>
      <c r="B72" s="1">
        <v>0.103065</v>
      </c>
      <c r="C72" s="1">
        <v>104167</v>
      </c>
      <c r="H72">
        <f t="shared" si="1"/>
        <v>0.87448127124137465</v>
      </c>
      <c r="I72" s="1">
        <f>(Equation_Sheet!$B$2-'0.8'!C72)/'0.8'!$T$2</f>
        <v>-7.4998661674188338E-2</v>
      </c>
    </row>
    <row r="73" spans="1:9" x14ac:dyDescent="0.3">
      <c r="A73">
        <v>1</v>
      </c>
      <c r="B73" s="1">
        <v>0.107186</v>
      </c>
      <c r="C73" s="1">
        <v>104639</v>
      </c>
      <c r="H73">
        <f t="shared" si="1"/>
        <v>0.8994468912623359</v>
      </c>
      <c r="I73" s="1">
        <f>(Equation_Sheet!$B$2-'0.8'!C73)/'0.8'!$T$2</f>
        <v>-8.7454456294250582E-2</v>
      </c>
    </row>
    <row r="74" spans="1:9" x14ac:dyDescent="0.3">
      <c r="A74">
        <v>1</v>
      </c>
      <c r="B74" s="1">
        <v>0.11071300000000001</v>
      </c>
      <c r="C74" s="1">
        <v>107355</v>
      </c>
      <c r="H74">
        <f t="shared" si="1"/>
        <v>0.92081397250813313</v>
      </c>
      <c r="I74" s="1">
        <f>(Equation_Sheet!$B$2-'0.8'!C74)/'0.8'!$T$2</f>
        <v>-0.15912805415037146</v>
      </c>
    </row>
    <row r="75" spans="1:9" x14ac:dyDescent="0.3">
      <c r="A75">
        <v>1</v>
      </c>
      <c r="B75" s="1">
        <v>0.113707</v>
      </c>
      <c r="C75" s="1">
        <v>108720</v>
      </c>
      <c r="H75">
        <f t="shared" si="1"/>
        <v>0.93895206189002045</v>
      </c>
      <c r="I75" s="1">
        <f>(Equation_Sheet!$B$2-'0.8'!C75)/'0.8'!$T$2</f>
        <v>-0.19514957884610232</v>
      </c>
    </row>
    <row r="76" spans="1:9" x14ac:dyDescent="0.3">
      <c r="A76">
        <v>1</v>
      </c>
      <c r="B76" s="1">
        <v>0.11623</v>
      </c>
      <c r="C76" s="1">
        <v>108261</v>
      </c>
      <c r="H76">
        <f t="shared" si="1"/>
        <v>0.95423676446533834</v>
      </c>
      <c r="I76" s="1">
        <f>(Equation_Sheet!$B$2-'0.8'!C76)/'0.8'!$T$2</f>
        <v>-0.1830368463659994</v>
      </c>
    </row>
    <row r="77" spans="1:9" x14ac:dyDescent="0.3">
      <c r="A77">
        <v>1</v>
      </c>
      <c r="B77" s="1">
        <v>0.118344</v>
      </c>
      <c r="C77" s="1">
        <v>118786</v>
      </c>
      <c r="H77">
        <f t="shared" si="1"/>
        <v>0.96704368529142715</v>
      </c>
      <c r="I77" s="1">
        <f>(Equation_Sheet!$B$2-'0.8'!C77)/'0.8'!$T$2</f>
        <v>-0.46078523275615857</v>
      </c>
    </row>
    <row r="78" spans="1:9" x14ac:dyDescent="0.3">
      <c r="A78">
        <v>1</v>
      </c>
      <c r="B78" s="1">
        <v>0.12010800000000001</v>
      </c>
      <c r="C78" s="1">
        <v>110842</v>
      </c>
      <c r="H78">
        <f t="shared" si="1"/>
        <v>0.97773025498736865</v>
      </c>
      <c r="I78" s="1">
        <f>(Equation_Sheet!$B$2-'0.8'!C78)/'0.8'!$T$2</f>
        <v>-0.25114787584561943</v>
      </c>
    </row>
    <row r="79" spans="1:9" x14ac:dyDescent="0.3">
      <c r="A79">
        <v>1</v>
      </c>
      <c r="B79" s="1">
        <v>0.121572</v>
      </c>
      <c r="C79" s="1">
        <v>124188</v>
      </c>
      <c r="H79">
        <f t="shared" si="1"/>
        <v>0.9865993808574699</v>
      </c>
      <c r="I79" s="1">
        <f>(Equation_Sheet!$B$2-'0.8'!C79)/'0.8'!$T$2</f>
        <v>-0.60334074660695569</v>
      </c>
    </row>
    <row r="80" spans="1:9" x14ac:dyDescent="0.3">
      <c r="A80">
        <v>1</v>
      </c>
      <c r="B80" s="1">
        <v>0.122784</v>
      </c>
      <c r="C80" s="1">
        <v>140436</v>
      </c>
      <c r="H80">
        <f t="shared" si="1"/>
        <v>0.99394185391386525</v>
      </c>
      <c r="I80" s="1">
        <f>(Equation_Sheet!$B$2-'0.8'!C80)/'0.8'!$T$2</f>
        <v>-1.0321156427653695</v>
      </c>
    </row>
  </sheetData>
  <sortState xmlns:xlrd2="http://schemas.microsoft.com/office/spreadsheetml/2017/richdata2" ref="A2:C80">
    <sortCondition descending="1" ref="A1:A80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C08C-535E-4DD9-8BCD-9DDB0D1AE2F9}">
  <dimension ref="A1:T80"/>
  <sheetViews>
    <sheetView workbookViewId="0">
      <selection activeCell="T2" sqref="T2"/>
    </sheetView>
  </sheetViews>
  <sheetFormatPr defaultRowHeight="16.5" x14ac:dyDescent="0.3"/>
  <cols>
    <col min="2" max="3" width="9" style="1"/>
  </cols>
  <sheetData>
    <row r="1" spans="1:20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</row>
    <row r="2" spans="1:20" x14ac:dyDescent="0.3">
      <c r="A2">
        <v>1</v>
      </c>
      <c r="B2" s="1">
        <v>-4.1283E-2</v>
      </c>
      <c r="C2" s="1">
        <v>129790</v>
      </c>
      <c r="E2">
        <f>MIN(B:B)</f>
        <v>-4.1283E-2</v>
      </c>
      <c r="F2">
        <f>E3-E2</f>
        <v>0.16506700000000002</v>
      </c>
      <c r="H2">
        <f>(B2-$E$2)/$F$2</f>
        <v>0</v>
      </c>
      <c r="I2" s="1">
        <f>(Equation_Sheet!$B$2-'0.8'!C2)/'0.89'!$T$2</f>
        <v>-0.64742109394727265</v>
      </c>
      <c r="R2">
        <v>1.04</v>
      </c>
      <c r="S2">
        <f>R2*Equation_Sheet!$D$2</f>
        <v>272.27136331111541</v>
      </c>
      <c r="T2">
        <f>(Equation_Sheet!$E$2*'0.89'!S2^2)/2</f>
        <v>45414.028481429988</v>
      </c>
    </row>
    <row r="3" spans="1:20" x14ac:dyDescent="0.3">
      <c r="A3">
        <v>1</v>
      </c>
      <c r="B3" s="1">
        <v>-4.1261199999999998E-2</v>
      </c>
      <c r="C3" s="1">
        <v>134375</v>
      </c>
      <c r="E3">
        <f>MAX(B:B)</f>
        <v>0.12378400000000001</v>
      </c>
      <c r="H3">
        <f t="shared" ref="H3:H66" si="0">(B3-$E$2)/$F$2</f>
        <v>1.3206758467775129E-4</v>
      </c>
      <c r="I3" s="1">
        <f>(Equation_Sheet!$B$2-'0.8'!C3)/'0.89'!$T$2</f>
        <v>-0.70454000822858764</v>
      </c>
    </row>
    <row r="4" spans="1:20" x14ac:dyDescent="0.3">
      <c r="A4">
        <v>1</v>
      </c>
      <c r="B4" s="1">
        <v>-4.1144699999999999E-2</v>
      </c>
      <c r="C4" s="1">
        <v>126019</v>
      </c>
      <c r="E4" s="1"/>
      <c r="H4">
        <f t="shared" si="0"/>
        <v>8.3784160371243744E-4</v>
      </c>
      <c r="I4" s="1">
        <f>(Equation_Sheet!$B$2-'0.8'!C4)/'0.89'!$T$2</f>
        <v>-0.31159975173280235</v>
      </c>
    </row>
    <row r="5" spans="1:20" x14ac:dyDescent="0.3">
      <c r="A5">
        <v>1</v>
      </c>
      <c r="B5" s="1">
        <v>-4.0884499999999997E-2</v>
      </c>
      <c r="C5" s="1">
        <v>130247</v>
      </c>
      <c r="H5">
        <f t="shared" si="0"/>
        <v>2.4141712153247044E-3</v>
      </c>
      <c r="I5" s="1">
        <f>(Equation_Sheet!$B$2-'0.8'!C5)/'0.89'!$T$2</f>
        <v>-8.2177250615986033E-2</v>
      </c>
    </row>
    <row r="6" spans="1:20" x14ac:dyDescent="0.3">
      <c r="A6">
        <v>1</v>
      </c>
      <c r="B6" s="1">
        <v>-4.0419900000000002E-2</v>
      </c>
      <c r="C6" s="1">
        <v>132515</v>
      </c>
      <c r="H6">
        <f t="shared" si="0"/>
        <v>5.2287858869428687E-3</v>
      </c>
      <c r="I6" s="1">
        <f>(Equation_Sheet!$B$2-'0.8'!C6)/'0.89'!$T$2</f>
        <v>0.14534055270386276</v>
      </c>
    </row>
    <row r="7" spans="1:20" x14ac:dyDescent="0.3">
      <c r="A7">
        <v>1</v>
      </c>
      <c r="B7" s="1">
        <v>-3.9683499999999997E-2</v>
      </c>
      <c r="C7" s="1">
        <v>126806</v>
      </c>
      <c r="H7">
        <f t="shared" si="0"/>
        <v>9.6900046647725082E-3</v>
      </c>
      <c r="I7" s="1">
        <f>(Equation_Sheet!$B$2-'0.8'!C7)/'0.89'!$T$2</f>
        <v>0.30775292277175936</v>
      </c>
    </row>
    <row r="8" spans="1:20" x14ac:dyDescent="0.3">
      <c r="A8">
        <v>1</v>
      </c>
      <c r="B8" s="1">
        <v>-3.86735E-2</v>
      </c>
      <c r="C8" s="1">
        <v>119212</v>
      </c>
      <c r="H8">
        <f t="shared" si="0"/>
        <v>1.5808732211768557E-2</v>
      </c>
      <c r="I8" s="1">
        <f>(Equation_Sheet!$B$2-'0.8'!C8)/'0.89'!$T$2</f>
        <v>0.42698480289915525</v>
      </c>
    </row>
    <row r="9" spans="1:20" x14ac:dyDescent="0.3">
      <c r="A9">
        <v>1</v>
      </c>
      <c r="B9" s="1">
        <v>-3.7356300000000002E-2</v>
      </c>
      <c r="C9" s="1">
        <v>113474</v>
      </c>
      <c r="H9">
        <f t="shared" si="0"/>
        <v>2.3788522236425195E-2</v>
      </c>
      <c r="I9" s="1">
        <f>(Equation_Sheet!$B$2-'0.8'!C9)/'0.89'!$T$2</f>
        <v>0.54442428533090748</v>
      </c>
    </row>
    <row r="10" spans="1:20" x14ac:dyDescent="0.3">
      <c r="A10">
        <v>1</v>
      </c>
      <c r="B10" s="1">
        <v>-3.5689600000000002E-2</v>
      </c>
      <c r="C10" s="1">
        <v>102143</v>
      </c>
      <c r="H10">
        <f t="shared" si="0"/>
        <v>3.3885634318185934E-2</v>
      </c>
      <c r="I10" s="1">
        <f>(Equation_Sheet!$B$2-'0.8'!C10)/'0.89'!$T$2</f>
        <v>0.68136875398871566</v>
      </c>
    </row>
    <row r="11" spans="1:20" x14ac:dyDescent="0.3">
      <c r="A11">
        <v>1</v>
      </c>
      <c r="B11" s="1">
        <v>-3.3623399999999998E-2</v>
      </c>
      <c r="C11" s="1">
        <v>102484</v>
      </c>
      <c r="H11">
        <f t="shared" si="0"/>
        <v>4.6402975761357518E-2</v>
      </c>
      <c r="I11" s="1">
        <f>(Equation_Sheet!$B$2-'0.8'!C11)/'0.89'!$T$2</f>
        <v>0.67965342499005954</v>
      </c>
    </row>
    <row r="12" spans="1:20" x14ac:dyDescent="0.3">
      <c r="A12">
        <v>1</v>
      </c>
      <c r="B12" s="1">
        <v>-3.1100800000000001E-2</v>
      </c>
      <c r="C12" s="1">
        <v>95926.5</v>
      </c>
      <c r="H12">
        <f t="shared" si="0"/>
        <v>6.1685255078240943E-2</v>
      </c>
      <c r="I12" s="1">
        <f>(Equation_Sheet!$B$2-'0.8'!C12)/'0.89'!$T$2</f>
        <v>0.69484696811037849</v>
      </c>
    </row>
    <row r="13" spans="1:20" x14ac:dyDescent="0.3">
      <c r="A13">
        <v>1</v>
      </c>
      <c r="B13" s="1">
        <v>-2.8060600000000002E-2</v>
      </c>
      <c r="C13" s="1">
        <v>95665.4</v>
      </c>
      <c r="H13">
        <f t="shared" si="0"/>
        <v>8.0103230809307716E-2</v>
      </c>
      <c r="I13" s="1">
        <f>(Equation_Sheet!$B$2-'0.8'!C13)/'0.89'!$T$2</f>
        <v>0.69475888959953602</v>
      </c>
    </row>
    <row r="14" spans="1:20" x14ac:dyDescent="0.3">
      <c r="A14">
        <v>1</v>
      </c>
      <c r="B14" s="1">
        <v>-2.44406E-2</v>
      </c>
      <c r="C14" s="1">
        <v>91101.4</v>
      </c>
      <c r="H14">
        <f t="shared" si="0"/>
        <v>0.10203371964111542</v>
      </c>
      <c r="I14" s="1">
        <f>(Equation_Sheet!$B$2-'0.8'!C14)/'0.89'!$T$2</f>
        <v>0.66274895679662649</v>
      </c>
    </row>
    <row r="15" spans="1:20" x14ac:dyDescent="0.3">
      <c r="A15">
        <v>1</v>
      </c>
      <c r="B15" s="1">
        <v>-2.0181899999999999E-2</v>
      </c>
      <c r="C15" s="1">
        <v>89886.7</v>
      </c>
      <c r="H15">
        <f t="shared" si="0"/>
        <v>0.12783354637813735</v>
      </c>
      <c r="I15" s="1">
        <f>(Equation_Sheet!$B$2-'0.8'!C15)/'0.89'!$T$2</f>
        <v>0.64969572148977839</v>
      </c>
    </row>
    <row r="16" spans="1:20" x14ac:dyDescent="0.3">
      <c r="A16">
        <v>1</v>
      </c>
      <c r="B16" s="1">
        <v>-1.52348E-2</v>
      </c>
      <c r="C16" s="1">
        <v>88006.7</v>
      </c>
      <c r="H16">
        <f t="shared" si="0"/>
        <v>0.15780380088085444</v>
      </c>
      <c r="I16" s="1">
        <f>(Equation_Sheet!$B$2-'0.8'!C16)/'0.89'!$T$2</f>
        <v>0.58135560492713778</v>
      </c>
    </row>
    <row r="17" spans="1:9" x14ac:dyDescent="0.3">
      <c r="A17">
        <v>1</v>
      </c>
      <c r="B17" s="1">
        <v>-9.5662899999999999E-3</v>
      </c>
      <c r="C17" s="1">
        <v>87134.1</v>
      </c>
      <c r="H17">
        <f t="shared" si="0"/>
        <v>0.19214446255156997</v>
      </c>
      <c r="I17" s="1">
        <f>(Equation_Sheet!$B$2-'0.8'!C17)/'0.89'!$T$2</f>
        <v>0.52385795304920035</v>
      </c>
    </row>
    <row r="18" spans="1:9" x14ac:dyDescent="0.3">
      <c r="A18">
        <v>1</v>
      </c>
      <c r="B18" s="1">
        <v>-3.1673000000000001E-3</v>
      </c>
      <c r="C18" s="1">
        <v>86736.2</v>
      </c>
      <c r="H18">
        <f t="shared" si="0"/>
        <v>0.23091047877528517</v>
      </c>
      <c r="I18" s="1">
        <f>(Equation_Sheet!$B$2-'0.8'!C18)/'0.89'!$T$2</f>
        <v>0.46012654456638991</v>
      </c>
    </row>
    <row r="19" spans="1:9" x14ac:dyDescent="0.3">
      <c r="A19">
        <v>1</v>
      </c>
      <c r="B19" s="1">
        <v>3.9396300000000004E-3</v>
      </c>
      <c r="C19" s="1">
        <v>87115.9</v>
      </c>
      <c r="H19">
        <f t="shared" si="0"/>
        <v>0.27396529893921856</v>
      </c>
      <c r="I19" s="1">
        <f>(Equation_Sheet!$B$2-'0.8'!C19)/'0.89'!$T$2</f>
        <v>0.40882961985175958</v>
      </c>
    </row>
    <row r="20" spans="1:9" x14ac:dyDescent="0.3">
      <c r="A20">
        <v>1</v>
      </c>
      <c r="B20" s="1">
        <v>1.1694700000000001E-2</v>
      </c>
      <c r="C20" s="1">
        <v>87890</v>
      </c>
      <c r="H20">
        <f t="shared" si="0"/>
        <v>0.32094664590741939</v>
      </c>
      <c r="I20" s="1">
        <f>(Equation_Sheet!$B$2-'0.8'!C20)/'0.89'!$T$2</f>
        <v>0.35587902109606223</v>
      </c>
    </row>
    <row r="21" spans="1:9" x14ac:dyDescent="0.3">
      <c r="A21">
        <v>1</v>
      </c>
      <c r="B21" s="1">
        <v>1.9998499999999999E-2</v>
      </c>
      <c r="C21" s="1">
        <v>89128.3</v>
      </c>
      <c r="H21">
        <f t="shared" si="0"/>
        <v>0.37125227937746486</v>
      </c>
      <c r="I21" s="1">
        <f>(Equation_Sheet!$B$2-'0.8'!C21)/'0.89'!$T$2</f>
        <v>0.3073940028400764</v>
      </c>
    </row>
    <row r="22" spans="1:9" x14ac:dyDescent="0.3">
      <c r="A22">
        <v>1</v>
      </c>
      <c r="B22" s="1">
        <v>2.8714E-2</v>
      </c>
      <c r="C22" s="1">
        <v>90350.7</v>
      </c>
      <c r="H22">
        <f t="shared" si="0"/>
        <v>0.42405205159117204</v>
      </c>
      <c r="I22" s="1">
        <f>(Equation_Sheet!$B$2-'0.8'!C22)/'0.89'!$T$2</f>
        <v>0.2602521818744376</v>
      </c>
    </row>
    <row r="23" spans="1:9" x14ac:dyDescent="0.3">
      <c r="A23">
        <v>1</v>
      </c>
      <c r="B23" s="1">
        <v>3.76738E-2</v>
      </c>
      <c r="C23" s="1">
        <v>91867.3</v>
      </c>
      <c r="H23">
        <f t="shared" si="0"/>
        <v>0.47833182889372183</v>
      </c>
      <c r="I23" s="1">
        <f>(Equation_Sheet!$B$2-'0.8'!C23)/'0.89'!$T$2</f>
        <v>0.21719720381188728</v>
      </c>
    </row>
    <row r="24" spans="1:9" x14ac:dyDescent="0.3">
      <c r="A24">
        <v>1</v>
      </c>
      <c r="B24" s="1">
        <v>4.6691799999999999E-2</v>
      </c>
      <c r="C24" s="1">
        <v>93202.4</v>
      </c>
      <c r="H24">
        <f t="shared" si="0"/>
        <v>0.53296419029848474</v>
      </c>
      <c r="I24" s="1">
        <f>(Equation_Sheet!$B$2-'0.8'!C24)/'0.89'!$T$2</f>
        <v>0.17767417403411823</v>
      </c>
    </row>
    <row r="25" spans="1:9" x14ac:dyDescent="0.3">
      <c r="A25">
        <v>1</v>
      </c>
      <c r="B25" s="1">
        <v>5.5578200000000001E-2</v>
      </c>
      <c r="C25" s="1">
        <v>94580.6</v>
      </c>
      <c r="H25">
        <f t="shared" si="0"/>
        <v>0.58679929967831246</v>
      </c>
      <c r="I25" s="1">
        <f>(Equation_Sheet!$B$2-'0.8'!C25)/'0.89'!$T$2</f>
        <v>0.1405402738629504</v>
      </c>
    </row>
    <row r="26" spans="1:9" x14ac:dyDescent="0.3">
      <c r="A26">
        <v>1</v>
      </c>
      <c r="B26" s="1">
        <v>6.4154799999999998E-2</v>
      </c>
      <c r="C26" s="1">
        <v>95994.7</v>
      </c>
      <c r="H26">
        <f t="shared" si="0"/>
        <v>0.63875759540065535</v>
      </c>
      <c r="I26" s="1">
        <f>(Equation_Sheet!$B$2-'0.8'!C26)/'0.89'!$T$2</f>
        <v>0.11076753523543829</v>
      </c>
    </row>
    <row r="27" spans="1:9" x14ac:dyDescent="0.3">
      <c r="A27">
        <v>1</v>
      </c>
      <c r="B27" s="1">
        <v>7.2268399999999997E-2</v>
      </c>
      <c r="C27" s="1">
        <v>97313.1</v>
      </c>
      <c r="H27">
        <f t="shared" si="0"/>
        <v>0.6879109694851181</v>
      </c>
      <c r="I27" s="1">
        <f>(Equation_Sheet!$B$2-'0.8'!C27)/'0.89'!$T$2</f>
        <v>7.3067730632107905E-2</v>
      </c>
    </row>
    <row r="28" spans="1:9" x14ac:dyDescent="0.3">
      <c r="A28">
        <v>1</v>
      </c>
      <c r="B28" s="1">
        <v>7.9800399999999994E-2</v>
      </c>
      <c r="C28" s="1">
        <v>98597.4</v>
      </c>
      <c r="H28">
        <f t="shared" si="0"/>
        <v>0.73354092580588481</v>
      </c>
      <c r="I28" s="1">
        <f>(Equation_Sheet!$B$2-'0.8'!C28)/'0.89'!$T$2</f>
        <v>4.0225455901737282E-2</v>
      </c>
    </row>
    <row r="29" spans="1:9" x14ac:dyDescent="0.3">
      <c r="A29">
        <v>1</v>
      </c>
      <c r="B29" s="1">
        <v>8.6670899999999995E-2</v>
      </c>
      <c r="C29" s="1">
        <v>99733.8</v>
      </c>
      <c r="H29">
        <f t="shared" si="0"/>
        <v>0.77516341849067349</v>
      </c>
      <c r="I29" s="1">
        <f>(Equation_Sheet!$B$2-'0.8'!C29)/'0.89'!$T$2</f>
        <v>1.5039405726344712E-2</v>
      </c>
    </row>
    <row r="30" spans="1:9" x14ac:dyDescent="0.3">
      <c r="A30">
        <v>1</v>
      </c>
      <c r="B30" s="1">
        <v>9.2838599999999993E-2</v>
      </c>
      <c r="C30" s="1">
        <v>101211</v>
      </c>
      <c r="H30">
        <f t="shared" si="0"/>
        <v>0.81252824610612651</v>
      </c>
      <c r="I30" s="1">
        <f>(Equation_Sheet!$B$2-'0.8'!C30)/'0.89'!$T$2</f>
        <v>-1.3431972903470387E-2</v>
      </c>
    </row>
    <row r="31" spans="1:9" x14ac:dyDescent="0.3">
      <c r="A31">
        <v>1</v>
      </c>
      <c r="B31" s="1">
        <v>9.8296599999999998E-2</v>
      </c>
      <c r="C31" s="1">
        <v>102347</v>
      </c>
      <c r="H31">
        <f t="shared" si="0"/>
        <v>0.84559360744424983</v>
      </c>
      <c r="I31" s="1">
        <f>(Equation_Sheet!$B$2-'0.8'!C31)/'0.89'!$T$2</f>
        <v>-5.753728720781659E-2</v>
      </c>
    </row>
    <row r="32" spans="1:9" x14ac:dyDescent="0.3">
      <c r="A32">
        <v>1</v>
      </c>
      <c r="B32" s="1">
        <v>0.103065</v>
      </c>
      <c r="C32" s="1">
        <v>104677</v>
      </c>
      <c r="H32">
        <f t="shared" si="0"/>
        <v>0.87448127124137465</v>
      </c>
      <c r="I32" s="1">
        <f>(Equation_Sheet!$B$2-'0.8'!C32)/'0.89'!$T$2</f>
        <v>-6.2227467910175922E-2</v>
      </c>
    </row>
    <row r="33" spans="1:9" x14ac:dyDescent="0.3">
      <c r="A33">
        <v>1</v>
      </c>
      <c r="B33" s="1">
        <v>0.107186</v>
      </c>
      <c r="C33" s="1">
        <v>105320</v>
      </c>
      <c r="H33">
        <f t="shared" si="0"/>
        <v>0.8994468912623359</v>
      </c>
      <c r="I33" s="1">
        <f>(Equation_Sheet!$B$2-'0.8'!C33)/'0.89'!$T$2</f>
        <v>-0.13610331887926305</v>
      </c>
    </row>
    <row r="34" spans="1:9" x14ac:dyDescent="0.3">
      <c r="A34">
        <v>1</v>
      </c>
      <c r="B34" s="1">
        <v>0.11071300000000001</v>
      </c>
      <c r="C34" s="1">
        <v>107567</v>
      </c>
      <c r="H34">
        <f t="shared" si="0"/>
        <v>0.92081397250813313</v>
      </c>
      <c r="I34" s="1">
        <f>(Equation_Sheet!$B$2-'0.8'!C34)/'0.89'!$T$2</f>
        <v>-0.13559686744191909</v>
      </c>
    </row>
    <row r="35" spans="1:9" x14ac:dyDescent="0.3">
      <c r="A35">
        <v>1</v>
      </c>
      <c r="B35" s="1">
        <v>0.113707</v>
      </c>
      <c r="C35" s="1">
        <v>107174</v>
      </c>
      <c r="H35">
        <f t="shared" si="0"/>
        <v>0.93895206189002045</v>
      </c>
      <c r="I35" s="1">
        <f>(Equation_Sheet!$B$2-'0.8'!C35)/'0.89'!$T$2</f>
        <v>-0.14953529178273345</v>
      </c>
    </row>
    <row r="36" spans="1:9" x14ac:dyDescent="0.3">
      <c r="A36">
        <v>1</v>
      </c>
      <c r="B36" s="1">
        <v>0.11623</v>
      </c>
      <c r="C36" s="1">
        <v>108291</v>
      </c>
      <c r="H36">
        <f t="shared" si="0"/>
        <v>0.95423676446533834</v>
      </c>
      <c r="I36" s="1">
        <f>(Equation_Sheet!$B$2-'0.8'!C36)/'0.89'!$T$2</f>
        <v>-0.3692691567068826</v>
      </c>
    </row>
    <row r="37" spans="1:9" x14ac:dyDescent="0.3">
      <c r="A37">
        <v>1</v>
      </c>
      <c r="B37" s="1">
        <v>0.118344</v>
      </c>
      <c r="C37" s="1">
        <v>117738</v>
      </c>
      <c r="H37">
        <f t="shared" si="0"/>
        <v>0.96704368529142715</v>
      </c>
      <c r="I37" s="1">
        <f>(Equation_Sheet!$B$2-'0.8'!C37)/'0.89'!$T$2</f>
        <v>-0.21632082262900504</v>
      </c>
    </row>
    <row r="38" spans="1:9" x14ac:dyDescent="0.3">
      <c r="A38">
        <v>1</v>
      </c>
      <c r="B38" s="1">
        <v>0.12010800000000001</v>
      </c>
      <c r="C38" s="1">
        <v>109187</v>
      </c>
      <c r="H38">
        <f t="shared" si="0"/>
        <v>0.97773025498736865</v>
      </c>
      <c r="I38" s="1">
        <f>(Equation_Sheet!$B$2-'0.8'!C38)/'0.89'!$T$2</f>
        <v>-0.43530602021099357</v>
      </c>
    </row>
    <row r="39" spans="1:9" x14ac:dyDescent="0.3">
      <c r="A39">
        <v>1</v>
      </c>
      <c r="B39" s="1">
        <v>0.121572</v>
      </c>
      <c r="C39" s="1">
        <v>126600</v>
      </c>
      <c r="H39">
        <f t="shared" si="0"/>
        <v>0.9865993808574699</v>
      </c>
      <c r="I39" s="1">
        <f>(Equation_Sheet!$B$2-'0.8'!C39)/'0.89'!$T$2</f>
        <v>-0.83921205130666132</v>
      </c>
    </row>
    <row r="40" spans="1:9" x14ac:dyDescent="0.3">
      <c r="A40">
        <v>1</v>
      </c>
      <c r="B40" s="1">
        <v>0.122784</v>
      </c>
      <c r="C40" s="1">
        <v>141996</v>
      </c>
      <c r="H40">
        <f t="shared" si="0"/>
        <v>0.99394185391386525</v>
      </c>
      <c r="I40" s="1">
        <f>(Equation_Sheet!$B$2-'0.8'!C40)/'0.89'!$T$2</f>
        <v>2.8163103841866599E-2</v>
      </c>
    </row>
    <row r="41" spans="1:9" x14ac:dyDescent="0.3">
      <c r="I41" s="1"/>
    </row>
    <row r="42" spans="1:9" x14ac:dyDescent="0.3">
      <c r="A42">
        <v>2</v>
      </c>
      <c r="B42" s="1">
        <v>-4.1184499999999999E-2</v>
      </c>
      <c r="C42" s="1">
        <v>141970</v>
      </c>
      <c r="H42">
        <f t="shared" si="0"/>
        <v>5.9672738948427818E-4</v>
      </c>
      <c r="I42" s="1">
        <f>(Equation_Sheet!$B$2-'0.8'!C42)/'0.89'!$T$2</f>
        <v>-0.76870520337729709</v>
      </c>
    </row>
    <row r="43" spans="1:9" x14ac:dyDescent="0.3">
      <c r="A43">
        <v>2</v>
      </c>
      <c r="B43" s="1">
        <v>-4.0910599999999998E-2</v>
      </c>
      <c r="C43" s="1">
        <v>133093</v>
      </c>
      <c r="H43">
        <f t="shared" si="0"/>
        <v>2.2560536024765813E-3</v>
      </c>
      <c r="I43" s="1">
        <f>(Equation_Sheet!$B$2-'0.8'!C43)/'0.89'!$T$2</f>
        <v>-0.50940206745718675</v>
      </c>
    </row>
    <row r="44" spans="1:9" x14ac:dyDescent="0.3">
      <c r="A44">
        <v>2</v>
      </c>
      <c r="B44" s="1">
        <v>-4.04312E-2</v>
      </c>
      <c r="C44" s="1">
        <v>109109</v>
      </c>
      <c r="H44">
        <f t="shared" si="0"/>
        <v>5.1603288361695534E-3</v>
      </c>
      <c r="I44" s="1">
        <f>(Equation_Sheet!$B$2-'0.8'!C44)/'0.89'!$T$2</f>
        <v>-0.57715646192272507</v>
      </c>
    </row>
    <row r="45" spans="1:9" x14ac:dyDescent="0.3">
      <c r="A45">
        <v>2</v>
      </c>
      <c r="B45" s="1">
        <v>-3.9751000000000002E-2</v>
      </c>
      <c r="C45" s="1">
        <v>110706</v>
      </c>
      <c r="H45">
        <f t="shared" si="0"/>
        <v>9.2810798039583836E-3</v>
      </c>
      <c r="I45" s="1">
        <f>(Equation_Sheet!$B$2-'0.8'!C45)/'0.89'!$T$2</f>
        <v>-0.41104039047390445</v>
      </c>
    </row>
    <row r="46" spans="1:9" x14ac:dyDescent="0.3">
      <c r="A46">
        <v>2</v>
      </c>
      <c r="B46" s="1">
        <v>-3.8819800000000002E-2</v>
      </c>
      <c r="C46" s="1">
        <v>99712.9</v>
      </c>
      <c r="H46">
        <f t="shared" si="0"/>
        <v>1.4922425439367035E-2</v>
      </c>
      <c r="I46" s="1">
        <f>(Equation_Sheet!$B$2-'0.8'!C46)/'0.89'!$T$2</f>
        <v>-0.50781665426202305</v>
      </c>
    </row>
    <row r="47" spans="1:9" x14ac:dyDescent="0.3">
      <c r="A47">
        <v>2</v>
      </c>
      <c r="B47" s="1">
        <v>-3.7612399999999997E-2</v>
      </c>
      <c r="C47" s="1">
        <v>87710</v>
      </c>
      <c r="H47">
        <f t="shared" si="0"/>
        <v>2.2237031023766122E-2</v>
      </c>
      <c r="I47" s="1">
        <f>(Equation_Sheet!$B$2-'0.8'!C47)/'0.89'!$T$2</f>
        <v>-0.42004641820754279</v>
      </c>
    </row>
    <row r="48" spans="1:9" x14ac:dyDescent="0.3">
      <c r="A48">
        <v>2</v>
      </c>
      <c r="B48" s="1">
        <v>-3.6096099999999999E-2</v>
      </c>
      <c r="C48" s="1">
        <v>75252.7</v>
      </c>
      <c r="H48">
        <f t="shared" si="0"/>
        <v>3.1422997934172185E-2</v>
      </c>
      <c r="I48" s="1">
        <f>(Equation_Sheet!$B$2-'0.8'!C48)/'0.89'!$T$2</f>
        <v>-0.26060229395503609</v>
      </c>
    </row>
    <row r="49" spans="1:9" x14ac:dyDescent="0.3">
      <c r="A49">
        <v>2</v>
      </c>
      <c r="B49" s="1">
        <v>-3.4229799999999998E-2</v>
      </c>
      <c r="C49" s="1">
        <v>72715.7</v>
      </c>
      <c r="H49">
        <f t="shared" si="0"/>
        <v>4.2729315974725422E-2</v>
      </c>
      <c r="I49" s="1">
        <f>(Equation_Sheet!$B$2-'0.8'!C49)/'0.89'!$T$2</f>
        <v>-0.11397359303010282</v>
      </c>
    </row>
    <row r="50" spans="1:9" x14ac:dyDescent="0.3">
      <c r="A50">
        <v>2</v>
      </c>
      <c r="B50" s="1">
        <v>-3.1964699999999999E-2</v>
      </c>
      <c r="C50" s="1">
        <v>68843.399999999994</v>
      </c>
      <c r="H50">
        <f t="shared" si="0"/>
        <v>5.6451622674429172E-2</v>
      </c>
      <c r="I50" s="1">
        <f>(Equation_Sheet!$B$2-'0.8'!C50)/'0.89'!$T$2</f>
        <v>-3.2787225661094106E-2</v>
      </c>
    </row>
    <row r="51" spans="1:9" x14ac:dyDescent="0.3">
      <c r="A51">
        <v>2</v>
      </c>
      <c r="B51" s="1">
        <v>-2.9246100000000001E-2</v>
      </c>
      <c r="C51" s="1">
        <v>64021.7</v>
      </c>
      <c r="H51">
        <f t="shared" si="0"/>
        <v>7.2921298624195011E-2</v>
      </c>
      <c r="I51" s="1">
        <f>(Equation_Sheet!$B$2-'0.8'!C51)/'0.89'!$T$2</f>
        <v>5.9961648218754569E-2</v>
      </c>
    </row>
    <row r="52" spans="1:9" x14ac:dyDescent="0.3">
      <c r="A52">
        <v>2</v>
      </c>
      <c r="B52" s="1">
        <v>-2.6016000000000001E-2</v>
      </c>
      <c r="C52" s="1">
        <v>62744.6</v>
      </c>
      <c r="H52">
        <f t="shared" si="0"/>
        <v>9.248971629701877E-2</v>
      </c>
      <c r="I52" s="1">
        <f>(Equation_Sheet!$B$2-'0.8'!C52)/'0.89'!$T$2</f>
        <v>0.13014921154631498</v>
      </c>
    </row>
    <row r="53" spans="1:9" x14ac:dyDescent="0.3">
      <c r="A53">
        <v>2</v>
      </c>
      <c r="B53" s="1">
        <v>-2.2216400000000001E-2</v>
      </c>
      <c r="C53" s="1">
        <v>63852.6</v>
      </c>
      <c r="H53">
        <f t="shared" si="0"/>
        <v>0.11550824816589626</v>
      </c>
      <c r="I53" s="1">
        <f>(Equation_Sheet!$B$2-'0.8'!C53)/'0.89'!$T$2</f>
        <v>0.19349527654418949</v>
      </c>
    </row>
    <row r="54" spans="1:9" x14ac:dyDescent="0.3">
      <c r="A54">
        <v>2</v>
      </c>
      <c r="B54" s="1">
        <v>-1.7793699999999999E-2</v>
      </c>
      <c r="C54" s="1">
        <v>62912.7</v>
      </c>
      <c r="H54">
        <f t="shared" si="0"/>
        <v>0.14230161086104429</v>
      </c>
      <c r="I54" s="1">
        <f>(Equation_Sheet!$B$2-'0.8'!C54)/'0.89'!$T$2</f>
        <v>0.19334554307575763</v>
      </c>
    </row>
    <row r="55" spans="1:9" x14ac:dyDescent="0.3">
      <c r="A55">
        <v>2</v>
      </c>
      <c r="B55" s="1">
        <v>-1.27049E-2</v>
      </c>
      <c r="C55" s="1">
        <v>62008.9</v>
      </c>
      <c r="H55">
        <f t="shared" si="0"/>
        <v>0.17313030466416665</v>
      </c>
      <c r="I55" s="1">
        <f>(Equation_Sheet!$B$2-'0.8'!C55)/'0.89'!$T$2</f>
        <v>0.22263605185640725</v>
      </c>
    </row>
    <row r="56" spans="1:9" x14ac:dyDescent="0.3">
      <c r="A56">
        <v>2</v>
      </c>
      <c r="B56" s="1">
        <v>-6.92334E-3</v>
      </c>
      <c r="C56" s="1">
        <v>64831.199999999997</v>
      </c>
      <c r="H56">
        <f t="shared" si="0"/>
        <v>0.20815583974991972</v>
      </c>
      <c r="I56" s="1">
        <f>(Equation_Sheet!$B$2-'0.8'!C56)/'0.89'!$T$2</f>
        <v>0.2572134732503738</v>
      </c>
    </row>
    <row r="57" spans="1:9" x14ac:dyDescent="0.3">
      <c r="A57">
        <v>2</v>
      </c>
      <c r="B57" s="1">
        <v>-4.46744E-4</v>
      </c>
      <c r="C57" s="1">
        <v>71557.399999999994</v>
      </c>
      <c r="H57">
        <f t="shared" si="0"/>
        <v>0.2473920044587955</v>
      </c>
      <c r="I57" s="1">
        <f>(Equation_Sheet!$B$2-'0.8'!C57)/'0.89'!$T$2</f>
        <v>0.25408668611546759</v>
      </c>
    </row>
    <row r="58" spans="1:9" x14ac:dyDescent="0.3">
      <c r="A58">
        <v>2</v>
      </c>
      <c r="B58" s="1">
        <v>6.69683E-3</v>
      </c>
      <c r="C58" s="1">
        <v>77915.399999999994</v>
      </c>
      <c r="H58">
        <f t="shared" si="0"/>
        <v>0.29066881932790922</v>
      </c>
      <c r="I58" s="1">
        <f>(Equation_Sheet!$B$2-'0.8'!C58)/'0.89'!$T$2</f>
        <v>0.25897063954167998</v>
      </c>
    </row>
    <row r="59" spans="1:9" x14ac:dyDescent="0.3">
      <c r="A59">
        <v>2</v>
      </c>
      <c r="B59" s="1">
        <v>1.4444E-2</v>
      </c>
      <c r="C59" s="1">
        <v>81486.600000000006</v>
      </c>
      <c r="H59">
        <f t="shared" si="0"/>
        <v>0.33760230694202953</v>
      </c>
      <c r="I59" s="1">
        <f>(Equation_Sheet!$B$2-'0.8'!C59)/'0.89'!$T$2</f>
        <v>0.25702190248929124</v>
      </c>
    </row>
    <row r="60" spans="1:9" x14ac:dyDescent="0.3">
      <c r="A60">
        <v>2</v>
      </c>
      <c r="B60" s="1">
        <v>2.2694200000000001E-2</v>
      </c>
      <c r="C60" s="1">
        <v>84317.8</v>
      </c>
      <c r="H60">
        <f t="shared" si="0"/>
        <v>0.38758322378185822</v>
      </c>
      <c r="I60" s="1">
        <f>(Equation_Sheet!$B$2-'0.8'!C60)/'0.89'!$T$2</f>
        <v>0.23967263781610398</v>
      </c>
    </row>
    <row r="61" spans="1:9" x14ac:dyDescent="0.3">
      <c r="A61">
        <v>2</v>
      </c>
      <c r="B61" s="1">
        <v>3.1312600000000003E-2</v>
      </c>
      <c r="C61" s="1">
        <v>86992.1</v>
      </c>
      <c r="H61">
        <f t="shared" si="0"/>
        <v>0.43979475001060175</v>
      </c>
      <c r="I61" s="1">
        <f>(Equation_Sheet!$B$2-'0.8'!C61)/'0.89'!$T$2</f>
        <v>0.22060143825594697</v>
      </c>
    </row>
    <row r="62" spans="1:9" x14ac:dyDescent="0.3">
      <c r="A62">
        <v>2</v>
      </c>
      <c r="B62" s="1">
        <v>4.0136400000000003E-2</v>
      </c>
      <c r="C62" s="1">
        <v>89102.399999999994</v>
      </c>
      <c r="H62">
        <f t="shared" si="0"/>
        <v>0.49325061944543724</v>
      </c>
      <c r="I62" s="1">
        <f>(Equation_Sheet!$B$2-'0.8'!C62)/'0.89'!$T$2</f>
        <v>0.19511592114369034</v>
      </c>
    </row>
    <row r="63" spans="1:9" x14ac:dyDescent="0.3">
      <c r="A63">
        <v>2</v>
      </c>
      <c r="B63" s="1">
        <v>4.8986799999999997E-2</v>
      </c>
      <c r="C63" s="1">
        <v>90927.5</v>
      </c>
      <c r="H63">
        <f t="shared" si="0"/>
        <v>0.54686763556616391</v>
      </c>
      <c r="I63" s="1">
        <f>(Equation_Sheet!$B$2-'0.8'!C63)/'0.89'!$T$2</f>
        <v>0.1731359287629623</v>
      </c>
    </row>
    <row r="64" spans="1:9" x14ac:dyDescent="0.3">
      <c r="A64">
        <v>2</v>
      </c>
      <c r="B64" s="1">
        <v>5.7682400000000002E-2</v>
      </c>
      <c r="C64" s="1">
        <v>93023.4</v>
      </c>
      <c r="H64">
        <f t="shared" si="0"/>
        <v>0.59954685067275715</v>
      </c>
      <c r="I64" s="1">
        <f>(Equation_Sheet!$B$2-'0.8'!C64)/'0.89'!$T$2</f>
        <v>0.14791244522046176</v>
      </c>
    </row>
    <row r="65" spans="1:9" x14ac:dyDescent="0.3">
      <c r="A65">
        <v>2</v>
      </c>
      <c r="B65" s="1">
        <v>6.6054000000000002E-2</v>
      </c>
      <c r="C65" s="1">
        <v>94572.1</v>
      </c>
      <c r="H65">
        <f t="shared" si="0"/>
        <v>0.6502632264474425</v>
      </c>
      <c r="I65" s="1">
        <f>(Equation_Sheet!$B$2-'0.8'!C65)/'0.89'!$T$2</f>
        <v>0.12178615694182632</v>
      </c>
    </row>
    <row r="66" spans="1:9" x14ac:dyDescent="0.3">
      <c r="A66">
        <v>2</v>
      </c>
      <c r="B66" s="1">
        <v>7.3956800000000003E-2</v>
      </c>
      <c r="C66" s="1">
        <v>96486.1</v>
      </c>
      <c r="H66">
        <f t="shared" si="0"/>
        <v>0.69813954333694794</v>
      </c>
      <c r="I66" s="1">
        <f>(Equation_Sheet!$B$2-'0.8'!C66)/'0.89'!$T$2</f>
        <v>9.475926588982686E-2</v>
      </c>
    </row>
    <row r="67" spans="1:9" x14ac:dyDescent="0.3">
      <c r="A67">
        <v>2</v>
      </c>
      <c r="B67" s="1">
        <v>8.1279299999999999E-2</v>
      </c>
      <c r="C67" s="1">
        <v>98080.5</v>
      </c>
      <c r="H67">
        <f t="shared" ref="H67:H80" si="1">(B67-$E$2)/$F$2</f>
        <v>0.74250031805266947</v>
      </c>
      <c r="I67" s="1">
        <f>(Equation_Sheet!$B$2-'0.8'!C67)/'0.89'!$T$2</f>
        <v>7.0663187286109666E-2</v>
      </c>
    </row>
    <row r="68" spans="1:9" x14ac:dyDescent="0.3">
      <c r="A68">
        <v>2</v>
      </c>
      <c r="B68" s="1">
        <v>8.7947899999999996E-2</v>
      </c>
      <c r="C68" s="1">
        <v>99639.1</v>
      </c>
      <c r="H68">
        <f t="shared" si="1"/>
        <v>0.78289967104266733</v>
      </c>
      <c r="I68" s="1">
        <f>(Equation_Sheet!$B$2-'0.8'!C68)/'0.89'!$T$2</f>
        <v>4.830886123430099E-2</v>
      </c>
    </row>
    <row r="69" spans="1:9" x14ac:dyDescent="0.3">
      <c r="A69">
        <v>2</v>
      </c>
      <c r="B69" s="1">
        <v>9.3925599999999998E-2</v>
      </c>
      <c r="C69" s="1">
        <v>101257</v>
      </c>
      <c r="H69">
        <f t="shared" si="1"/>
        <v>0.81911345090175502</v>
      </c>
      <c r="I69" s="1">
        <f>(Equation_Sheet!$B$2-'0.8'!C69)/'0.89'!$T$2</f>
        <v>2.1755392178079903E-2</v>
      </c>
    </row>
    <row r="70" spans="1:9" x14ac:dyDescent="0.3">
      <c r="A70">
        <v>2</v>
      </c>
      <c r="B70" s="1">
        <v>9.9208299999999999E-2</v>
      </c>
      <c r="C70" s="1">
        <v>102364</v>
      </c>
      <c r="H70">
        <f t="shared" si="1"/>
        <v>0.85111681923097871</v>
      </c>
      <c r="I70" s="1">
        <f>(Equation_Sheet!$B$2-'0.8'!C70)/'0.89'!$T$2</f>
        <v>-1.6074328228743249E-3</v>
      </c>
    </row>
    <row r="71" spans="1:9" x14ac:dyDescent="0.3">
      <c r="A71">
        <v>2</v>
      </c>
      <c r="B71" s="1">
        <v>0.10381899999999999</v>
      </c>
      <c r="C71" s="1">
        <v>104963</v>
      </c>
      <c r="H71">
        <f t="shared" si="1"/>
        <v>0.87904911339032021</v>
      </c>
      <c r="I71" s="1">
        <f>(Equation_Sheet!$B$2-'0.8'!C71)/'0.89'!$T$2</f>
        <v>-2.219578473229205E-2</v>
      </c>
    </row>
    <row r="72" spans="1:9" x14ac:dyDescent="0.3">
      <c r="A72">
        <v>2</v>
      </c>
      <c r="B72" s="1">
        <v>0.107798</v>
      </c>
      <c r="C72" s="1">
        <v>105830</v>
      </c>
      <c r="H72">
        <f t="shared" si="1"/>
        <v>0.9031544766670504</v>
      </c>
      <c r="I72" s="1">
        <f>(Equation_Sheet!$B$2-'0.8'!C72)/'0.89'!$T$2</f>
        <v>-6.2579781953545632E-2</v>
      </c>
    </row>
    <row r="73" spans="1:9" x14ac:dyDescent="0.3">
      <c r="A73">
        <v>2</v>
      </c>
      <c r="B73" s="1">
        <v>0.11120099999999999</v>
      </c>
      <c r="C73" s="1">
        <v>108639</v>
      </c>
      <c r="H73">
        <f t="shared" si="1"/>
        <v>0.9237703477981668</v>
      </c>
      <c r="I73" s="1">
        <f>(Equation_Sheet!$B$2-'0.8'!C73)/'0.89'!$T$2</f>
        <v>-7.2973046232952227E-2</v>
      </c>
    </row>
    <row r="74" spans="1:9" x14ac:dyDescent="0.3">
      <c r="A74">
        <v>2</v>
      </c>
      <c r="B74" s="1">
        <v>0.11408699999999999</v>
      </c>
      <c r="C74" s="1">
        <v>109932</v>
      </c>
      <c r="H74">
        <f t="shared" si="1"/>
        <v>0.94125415740275153</v>
      </c>
      <c r="I74" s="1">
        <f>(Equation_Sheet!$B$2-'0.8'!C74)/'0.89'!$T$2</f>
        <v>-0.13277835509496136</v>
      </c>
    </row>
    <row r="75" spans="1:9" x14ac:dyDescent="0.3">
      <c r="A75">
        <v>2</v>
      </c>
      <c r="B75" s="1">
        <v>0.116517</v>
      </c>
      <c r="C75" s="1">
        <v>108642</v>
      </c>
      <c r="H75">
        <f t="shared" si="1"/>
        <v>0.95597545239205883</v>
      </c>
      <c r="I75" s="1">
        <f>(Equation_Sheet!$B$2-'0.8'!C75)/'0.89'!$T$2</f>
        <v>-0.16283514691994019</v>
      </c>
    </row>
    <row r="76" spans="1:9" x14ac:dyDescent="0.3">
      <c r="A76">
        <v>2</v>
      </c>
      <c r="B76" s="1">
        <v>0.11855300000000001</v>
      </c>
      <c r="C76" s="1">
        <v>120629</v>
      </c>
      <c r="H76">
        <f t="shared" si="1"/>
        <v>0.96830983782342916</v>
      </c>
      <c r="I76" s="1">
        <f>(Equation_Sheet!$B$2-'0.8'!C76)/'0.89'!$T$2</f>
        <v>-0.15272813780077149</v>
      </c>
    </row>
    <row r="77" spans="1:9" x14ac:dyDescent="0.3">
      <c r="A77">
        <v>2</v>
      </c>
      <c r="B77" s="1">
        <v>0.12024899999999999</v>
      </c>
      <c r="C77" s="1">
        <v>115519</v>
      </c>
      <c r="H77">
        <f t="shared" si="1"/>
        <v>0.97858445358551371</v>
      </c>
      <c r="I77" s="1">
        <f>(Equation_Sheet!$B$2-'0.8'!C77)/'0.89'!$T$2</f>
        <v>-0.38448471945491219</v>
      </c>
    </row>
    <row r="78" spans="1:9" x14ac:dyDescent="0.3">
      <c r="A78">
        <v>2</v>
      </c>
      <c r="B78" s="1">
        <v>0.121658</v>
      </c>
      <c r="C78" s="1">
        <v>123738</v>
      </c>
      <c r="H78">
        <f t="shared" si="1"/>
        <v>0.98712038142087744</v>
      </c>
      <c r="I78" s="1">
        <f>(Equation_Sheet!$B$2-'0.8'!C78)/'0.89'!$T$2</f>
        <v>-0.20956079692184865</v>
      </c>
    </row>
    <row r="79" spans="1:9" x14ac:dyDescent="0.3">
      <c r="A79">
        <v>2</v>
      </c>
      <c r="B79" s="1">
        <v>0.122822</v>
      </c>
      <c r="C79" s="1">
        <v>143800</v>
      </c>
      <c r="H79">
        <f t="shared" si="1"/>
        <v>0.99417206346513831</v>
      </c>
      <c r="I79" s="1">
        <f>(Equation_Sheet!$B$2-'0.8'!C79)/'0.89'!$T$2</f>
        <v>-0.50343474834761226</v>
      </c>
    </row>
    <row r="80" spans="1:9" x14ac:dyDescent="0.3">
      <c r="A80">
        <v>2</v>
      </c>
      <c r="B80" s="1">
        <v>0.12378400000000001</v>
      </c>
      <c r="C80" s="1">
        <v>100246</v>
      </c>
      <c r="H80">
        <f t="shared" si="1"/>
        <v>1</v>
      </c>
      <c r="I80" s="1">
        <f>(Equation_Sheet!$B$2-'0.8'!C80)/'0.89'!$T$2</f>
        <v>-0.86120965938955785</v>
      </c>
    </row>
  </sheetData>
  <sortState xmlns:xlrd2="http://schemas.microsoft.com/office/spreadsheetml/2017/richdata2" ref="A2:C80">
    <sortCondition ref="A1:A80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7526-F4A4-43BC-A103-3FA3D082ADB7}">
  <dimension ref="A1:T80"/>
  <sheetViews>
    <sheetView workbookViewId="0"/>
  </sheetViews>
  <sheetFormatPr defaultRowHeight="16.5" x14ac:dyDescent="0.3"/>
  <cols>
    <col min="2" max="3" width="9" style="1"/>
  </cols>
  <sheetData>
    <row r="1" spans="1:20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</row>
    <row r="2" spans="1:20" x14ac:dyDescent="0.3">
      <c r="A2">
        <v>1</v>
      </c>
      <c r="B2" s="1">
        <v>-4.1283E-2</v>
      </c>
      <c r="C2" s="1">
        <v>138082</v>
      </c>
      <c r="E2">
        <f>MIN(B:B)</f>
        <v>-4.1283E-2</v>
      </c>
      <c r="F2">
        <f>E3-E2</f>
        <v>0.16506700000000002</v>
      </c>
      <c r="H2">
        <f>(B2-$E$2)/$F$2</f>
        <v>0</v>
      </c>
      <c r="I2" s="1">
        <f>(Equation_Sheet!$B$2-'0.8'!C2)/'0.96'!$T$2</f>
        <v>-0.57871954976311568</v>
      </c>
      <c r="R2">
        <f>0.96+0.14</f>
        <v>1.1000000000000001</v>
      </c>
      <c r="S2">
        <f>R2*Equation_Sheet!$D$2</f>
        <v>287.97932657906438</v>
      </c>
      <c r="T2">
        <f>(Equation_Sheet!$E$2*'0.96'!S2^2)/2</f>
        <v>50805.264850712178</v>
      </c>
    </row>
    <row r="3" spans="1:20" x14ac:dyDescent="0.3">
      <c r="A3">
        <v>1</v>
      </c>
      <c r="B3" s="1">
        <v>-4.1261199999999998E-2</v>
      </c>
      <c r="C3" s="1">
        <v>143091</v>
      </c>
      <c r="E3">
        <f>MAX(B:B)</f>
        <v>0.12378400000000001</v>
      </c>
      <c r="H3">
        <f t="shared" ref="H3:H4" si="0">(B3-$E$2)/$F$2</f>
        <v>1.3206758467775129E-4</v>
      </c>
      <c r="I3" s="1">
        <f>(Equation_Sheet!$B$2-'0.8'!C3)/'0.96'!$T$2</f>
        <v>-0.62977725033061194</v>
      </c>
    </row>
    <row r="4" spans="1:20" x14ac:dyDescent="0.3">
      <c r="A4">
        <v>1</v>
      </c>
      <c r="B4" s="1">
        <v>-4.1144699999999999E-2</v>
      </c>
      <c r="C4" s="1">
        <v>136533</v>
      </c>
      <c r="H4">
        <f t="shared" si="0"/>
        <v>8.3784160371243744E-4</v>
      </c>
      <c r="I4" s="1">
        <f>(Equation_Sheet!$B$2-'0.8'!C4)/'0.96'!$T$2</f>
        <v>-0.27853412518528842</v>
      </c>
    </row>
    <row r="5" spans="1:20" x14ac:dyDescent="0.3">
      <c r="A5">
        <v>1</v>
      </c>
      <c r="B5" s="1">
        <v>-4.0884499999999997E-2</v>
      </c>
      <c r="C5" s="1">
        <v>126449</v>
      </c>
      <c r="H5">
        <f t="shared" ref="H5:H40" si="1">(B5-$E$2)/$F$2</f>
        <v>2.4141712153247044E-3</v>
      </c>
      <c r="I5" s="1">
        <f>(Equation_Sheet!$B$2-'0.8'!C5)/'0.96'!$T$2</f>
        <v>-7.3456953939049996E-2</v>
      </c>
    </row>
    <row r="6" spans="1:20" x14ac:dyDescent="0.3">
      <c r="A6">
        <v>1</v>
      </c>
      <c r="B6" s="1">
        <v>-4.0419900000000002E-2</v>
      </c>
      <c r="C6" s="1">
        <v>129086</v>
      </c>
      <c r="H6">
        <f t="shared" si="1"/>
        <v>5.2287858869428687E-3</v>
      </c>
      <c r="I6" s="1">
        <f>(Equation_Sheet!$B$2-'0.8'!C6)/'0.96'!$T$2</f>
        <v>0.129917637854957</v>
      </c>
    </row>
    <row r="7" spans="1:20" x14ac:dyDescent="0.3">
      <c r="A7">
        <v>1</v>
      </c>
      <c r="B7" s="1">
        <v>-3.9683499999999997E-2</v>
      </c>
      <c r="C7" s="1">
        <v>130960</v>
      </c>
      <c r="H7">
        <f t="shared" si="1"/>
        <v>9.6900046647725082E-3</v>
      </c>
      <c r="I7" s="1">
        <f>(Equation_Sheet!$B$2-'0.8'!C7)/'0.96'!$T$2</f>
        <v>0.27509550518176434</v>
      </c>
    </row>
    <row r="8" spans="1:20" x14ac:dyDescent="0.3">
      <c r="A8">
        <v>1</v>
      </c>
      <c r="B8" s="1">
        <v>-3.86735E-2</v>
      </c>
      <c r="C8" s="1">
        <v>121205</v>
      </c>
      <c r="H8">
        <f t="shared" si="1"/>
        <v>1.5808732211768557E-2</v>
      </c>
      <c r="I8" s="1">
        <f>(Equation_Sheet!$B$2-'0.8'!C8)/'0.96'!$T$2</f>
        <v>0.38167501059150932</v>
      </c>
    </row>
    <row r="9" spans="1:20" x14ac:dyDescent="0.3">
      <c r="A9">
        <v>1</v>
      </c>
      <c r="B9" s="1">
        <v>-3.7356300000000002E-2</v>
      </c>
      <c r="C9" s="1">
        <v>116641</v>
      </c>
      <c r="H9">
        <f t="shared" si="1"/>
        <v>2.3788522236425195E-2</v>
      </c>
      <c r="I9" s="1">
        <f>(Equation_Sheet!$B$2-'0.8'!C9)/'0.96'!$T$2</f>
        <v>0.48665231984620622</v>
      </c>
    </row>
    <row r="10" spans="1:20" x14ac:dyDescent="0.3">
      <c r="A10">
        <v>1</v>
      </c>
      <c r="B10" s="1">
        <v>-3.5689600000000002E-2</v>
      </c>
      <c r="C10" s="1">
        <v>106433</v>
      </c>
      <c r="H10">
        <f t="shared" si="1"/>
        <v>3.3885634318185934E-2</v>
      </c>
      <c r="I10" s="1">
        <f>(Equation_Sheet!$B$2-'0.8'!C10)/'0.96'!$T$2</f>
        <v>0.60906483001173128</v>
      </c>
    </row>
    <row r="11" spans="1:20" x14ac:dyDescent="0.3">
      <c r="A11">
        <v>1</v>
      </c>
      <c r="B11" s="1">
        <v>-3.3623399999999998E-2</v>
      </c>
      <c r="C11" s="1">
        <v>101677</v>
      </c>
      <c r="H11">
        <f t="shared" si="1"/>
        <v>4.6402975761357518E-2</v>
      </c>
      <c r="I11" s="1">
        <f>(Equation_Sheet!$B$2-'0.8'!C11)/'0.96'!$T$2</f>
        <v>0.60753152435475066</v>
      </c>
    </row>
    <row r="12" spans="1:20" x14ac:dyDescent="0.3">
      <c r="A12">
        <v>1</v>
      </c>
      <c r="B12" s="1">
        <v>-3.1100800000000001E-2</v>
      </c>
      <c r="C12" s="1">
        <v>94603.5</v>
      </c>
      <c r="H12">
        <f t="shared" si="1"/>
        <v>6.1685255078240943E-2</v>
      </c>
      <c r="I12" s="1">
        <f>(Equation_Sheet!$B$2-'0.8'!C12)/'0.96'!$T$2</f>
        <v>0.62111279397370689</v>
      </c>
    </row>
    <row r="13" spans="1:20" x14ac:dyDescent="0.3">
      <c r="A13">
        <v>1</v>
      </c>
      <c r="B13" s="1">
        <v>-2.8060600000000002E-2</v>
      </c>
      <c r="C13" s="1">
        <v>93426</v>
      </c>
      <c r="H13">
        <f t="shared" si="1"/>
        <v>8.0103230809307716E-2</v>
      </c>
      <c r="I13" s="1">
        <f>(Equation_Sheet!$B$2-'0.8'!C13)/'0.96'!$T$2</f>
        <v>0.62103406197591582</v>
      </c>
    </row>
    <row r="14" spans="1:20" x14ac:dyDescent="0.3">
      <c r="A14">
        <v>1</v>
      </c>
      <c r="B14" s="1">
        <v>-2.44406E-2</v>
      </c>
      <c r="C14" s="1">
        <v>89961.8</v>
      </c>
      <c r="H14">
        <f t="shared" si="1"/>
        <v>0.10203371964111542</v>
      </c>
      <c r="I14" s="1">
        <f>(Equation_Sheet!$B$2-'0.8'!C14)/'0.96'!$T$2</f>
        <v>0.59242088567870332</v>
      </c>
    </row>
    <row r="15" spans="1:20" x14ac:dyDescent="0.3">
      <c r="A15">
        <v>1</v>
      </c>
      <c r="B15" s="1">
        <v>-2.0181899999999999E-2</v>
      </c>
      <c r="C15" s="1">
        <v>87131.9</v>
      </c>
      <c r="H15">
        <f t="shared" si="1"/>
        <v>0.12783354637813735</v>
      </c>
      <c r="I15" s="1">
        <f>(Equation_Sheet!$B$2-'0.8'!C15)/'0.96'!$T$2</f>
        <v>0.58075280360606962</v>
      </c>
    </row>
    <row r="16" spans="1:20" x14ac:dyDescent="0.3">
      <c r="A16">
        <v>1</v>
      </c>
      <c r="B16" s="1">
        <v>-1.52348E-2</v>
      </c>
      <c r="C16" s="1">
        <v>86471.1</v>
      </c>
      <c r="H16">
        <f t="shared" si="1"/>
        <v>0.15780380088085444</v>
      </c>
      <c r="I16" s="1">
        <f>(Equation_Sheet!$B$2-'0.8'!C16)/'0.96'!$T$2</f>
        <v>0.51966464651999356</v>
      </c>
    </row>
    <row r="17" spans="1:9" x14ac:dyDescent="0.3">
      <c r="A17">
        <v>1</v>
      </c>
      <c r="B17" s="1">
        <v>-9.5662899999999999E-3</v>
      </c>
      <c r="C17" s="1">
        <v>85920.5</v>
      </c>
      <c r="H17">
        <f t="shared" si="1"/>
        <v>0.19214446255156997</v>
      </c>
      <c r="I17" s="1">
        <f>(Equation_Sheet!$B$2-'0.8'!C17)/'0.96'!$T$2</f>
        <v>0.46826839836199596</v>
      </c>
    </row>
    <row r="18" spans="1:9" x14ac:dyDescent="0.3">
      <c r="A18">
        <v>1</v>
      </c>
      <c r="B18" s="1">
        <v>-3.1673000000000001E-3</v>
      </c>
      <c r="C18" s="1">
        <v>85530.1</v>
      </c>
      <c r="H18">
        <f t="shared" si="1"/>
        <v>0.23091047877528517</v>
      </c>
      <c r="I18" s="1">
        <f>(Equation_Sheet!$B$2-'0.8'!C18)/'0.96'!$T$2</f>
        <v>0.4112998930603366</v>
      </c>
    </row>
    <row r="19" spans="1:9" x14ac:dyDescent="0.3">
      <c r="A19">
        <v>1</v>
      </c>
      <c r="B19" s="1">
        <v>3.9396300000000004E-3</v>
      </c>
      <c r="C19" s="1">
        <v>85678</v>
      </c>
      <c r="H19">
        <f t="shared" si="1"/>
        <v>0.27396529893921856</v>
      </c>
      <c r="I19" s="1">
        <f>(Equation_Sheet!$B$2-'0.8'!C19)/'0.96'!$T$2</f>
        <v>0.36544637754682907</v>
      </c>
    </row>
    <row r="20" spans="1:9" x14ac:dyDescent="0.3">
      <c r="A20">
        <v>1</v>
      </c>
      <c r="B20" s="1">
        <v>1.1694700000000001E-2</v>
      </c>
      <c r="C20" s="1">
        <v>87108.9</v>
      </c>
      <c r="H20">
        <f t="shared" si="1"/>
        <v>0.32094664590741939</v>
      </c>
      <c r="I20" s="1">
        <f>(Equation_Sheet!$B$2-'0.8'!C20)/'0.96'!$T$2</f>
        <v>0.31811466877479411</v>
      </c>
    </row>
    <row r="21" spans="1:9" x14ac:dyDescent="0.3">
      <c r="A21">
        <v>1</v>
      </c>
      <c r="B21" s="1">
        <v>1.9998499999999999E-2</v>
      </c>
      <c r="C21" s="1">
        <v>88659.8</v>
      </c>
      <c r="H21">
        <f t="shared" si="1"/>
        <v>0.37125227937746486</v>
      </c>
      <c r="I21" s="1">
        <f>(Equation_Sheet!$B$2-'0.8'!C21)/'0.96'!$T$2</f>
        <v>0.2747746722907658</v>
      </c>
    </row>
    <row r="22" spans="1:9" x14ac:dyDescent="0.3">
      <c r="A22">
        <v>1</v>
      </c>
      <c r="B22" s="1">
        <v>2.8714E-2</v>
      </c>
      <c r="C22" s="1">
        <v>90038.3</v>
      </c>
      <c r="H22">
        <f t="shared" si="1"/>
        <v>0.42405205159117204</v>
      </c>
      <c r="I22" s="1">
        <f>(Equation_Sheet!$B$2-'0.8'!C22)/'0.96'!$T$2</f>
        <v>0.23263533877305095</v>
      </c>
    </row>
    <row r="23" spans="1:9" x14ac:dyDescent="0.3">
      <c r="A23">
        <v>1</v>
      </c>
      <c r="B23" s="1">
        <v>3.76738E-2</v>
      </c>
      <c r="C23" s="1">
        <v>91331.7</v>
      </c>
      <c r="H23">
        <f t="shared" si="1"/>
        <v>0.47833182889372183</v>
      </c>
      <c r="I23" s="1">
        <f>(Equation_Sheet!$B$2-'0.8'!C23)/'0.96'!$T$2</f>
        <v>0.19414916995284071</v>
      </c>
    </row>
    <row r="24" spans="1:9" x14ac:dyDescent="0.3">
      <c r="A24">
        <v>1</v>
      </c>
      <c r="B24" s="1">
        <v>4.6691799999999999E-2</v>
      </c>
      <c r="C24" s="1">
        <v>92758.7</v>
      </c>
      <c r="H24">
        <f t="shared" si="1"/>
        <v>0.53296419029848474</v>
      </c>
      <c r="I24" s="1">
        <f>(Equation_Sheet!$B$2-'0.8'!C24)/'0.96'!$T$2</f>
        <v>0.15882015424405146</v>
      </c>
    </row>
    <row r="25" spans="1:9" x14ac:dyDescent="0.3">
      <c r="A25">
        <v>1</v>
      </c>
      <c r="B25" s="1">
        <v>5.5578200000000001E-2</v>
      </c>
      <c r="C25" s="1">
        <v>94186.7</v>
      </c>
      <c r="H25">
        <f t="shared" si="1"/>
        <v>0.58679929967831246</v>
      </c>
      <c r="I25" s="1">
        <f>(Equation_Sheet!$B$2-'0.8'!C25)/'0.96'!$T$2</f>
        <v>0.12562674397534473</v>
      </c>
    </row>
    <row r="26" spans="1:9" x14ac:dyDescent="0.3">
      <c r="A26">
        <v>1</v>
      </c>
      <c r="B26" s="1">
        <v>6.4154799999999998E-2</v>
      </c>
      <c r="C26" s="1">
        <v>95578.6</v>
      </c>
      <c r="H26">
        <f t="shared" si="1"/>
        <v>0.63875759540065535</v>
      </c>
      <c r="I26" s="1">
        <f>(Equation_Sheet!$B$2-'0.8'!C26)/'0.96'!$T$2</f>
        <v>9.9013360422024826E-2</v>
      </c>
    </row>
    <row r="27" spans="1:9" x14ac:dyDescent="0.3">
      <c r="A27">
        <v>1</v>
      </c>
      <c r="B27" s="1">
        <v>7.2268399999999997E-2</v>
      </c>
      <c r="C27" s="1">
        <v>96679.3</v>
      </c>
      <c r="H27">
        <f t="shared" si="1"/>
        <v>0.6879109694851181</v>
      </c>
      <c r="I27" s="1">
        <f>(Equation_Sheet!$B$2-'0.8'!C27)/'0.96'!$T$2</f>
        <v>6.5314097067510665E-2</v>
      </c>
    </row>
    <row r="28" spans="1:9" x14ac:dyDescent="0.3">
      <c r="A28">
        <v>1</v>
      </c>
      <c r="B28" s="1">
        <v>7.9800399999999994E-2</v>
      </c>
      <c r="C28" s="1">
        <v>97893.4</v>
      </c>
      <c r="H28">
        <f t="shared" si="1"/>
        <v>0.73354092580588481</v>
      </c>
      <c r="I28" s="1">
        <f>(Equation_Sheet!$B$2-'0.8'!C28)/'0.96'!$T$2</f>
        <v>3.5956903391172759E-2</v>
      </c>
    </row>
    <row r="29" spans="1:9" x14ac:dyDescent="0.3">
      <c r="A29">
        <v>1</v>
      </c>
      <c r="B29" s="1">
        <v>8.6670899999999995E-2</v>
      </c>
      <c r="C29" s="1">
        <v>99421.6</v>
      </c>
      <c r="H29">
        <f t="shared" si="1"/>
        <v>0.77516341849067349</v>
      </c>
      <c r="I29" s="1">
        <f>(Equation_Sheet!$B$2-'0.8'!C29)/'0.96'!$T$2</f>
        <v>1.344348862282185E-2</v>
      </c>
    </row>
    <row r="30" spans="1:9" x14ac:dyDescent="0.3">
      <c r="A30">
        <v>1</v>
      </c>
      <c r="B30" s="1">
        <v>9.2838599999999993E-2</v>
      </c>
      <c r="C30" s="1">
        <v>100506</v>
      </c>
      <c r="H30">
        <f t="shared" si="1"/>
        <v>0.81252824610612651</v>
      </c>
      <c r="I30" s="1">
        <f>(Equation_Sheet!$B$2-'0.8'!C30)/'0.96'!$T$2</f>
        <v>-1.2006629663135182E-2</v>
      </c>
    </row>
    <row r="31" spans="1:9" x14ac:dyDescent="0.3">
      <c r="A31">
        <v>1</v>
      </c>
      <c r="B31" s="1">
        <v>9.8296599999999998E-2</v>
      </c>
      <c r="C31" s="1">
        <v>102611</v>
      </c>
      <c r="H31">
        <f t="shared" si="1"/>
        <v>0.84559360744424983</v>
      </c>
      <c r="I31" s="1">
        <f>(Equation_Sheet!$B$2-'0.8'!C31)/'0.96'!$T$2</f>
        <v>-5.1431677557003654E-2</v>
      </c>
    </row>
    <row r="32" spans="1:9" x14ac:dyDescent="0.3">
      <c r="A32">
        <v>1</v>
      </c>
      <c r="B32" s="1">
        <v>0.103065</v>
      </c>
      <c r="C32" s="1">
        <v>104911</v>
      </c>
      <c r="H32">
        <f t="shared" si="1"/>
        <v>0.87448127124137465</v>
      </c>
      <c r="I32" s="1">
        <f>(Equation_Sheet!$B$2-'0.8'!C32)/'0.96'!$T$2</f>
        <v>-5.5624156439377084E-2</v>
      </c>
    </row>
    <row r="33" spans="1:9" x14ac:dyDescent="0.3">
      <c r="A33">
        <v>1</v>
      </c>
      <c r="B33" s="1">
        <v>0.107186</v>
      </c>
      <c r="C33" s="1">
        <v>106076</v>
      </c>
      <c r="H33">
        <f t="shared" si="1"/>
        <v>0.8994468912623359</v>
      </c>
      <c r="I33" s="1">
        <f>(Equation_Sheet!$B$2-'0.8'!C33)/'0.96'!$T$2</f>
        <v>-0.12166061958662058</v>
      </c>
    </row>
    <row r="34" spans="1:9" x14ac:dyDescent="0.3">
      <c r="A34">
        <v>1</v>
      </c>
      <c r="B34" s="1">
        <v>0.11071300000000001</v>
      </c>
      <c r="C34" s="1">
        <v>109033</v>
      </c>
      <c r="H34">
        <f t="shared" si="1"/>
        <v>0.92081397250813313</v>
      </c>
      <c r="I34" s="1">
        <f>(Equation_Sheet!$B$2-'0.8'!C34)/'0.96'!$T$2</f>
        <v>-0.12120791059932204</v>
      </c>
    </row>
    <row r="35" spans="1:9" x14ac:dyDescent="0.3">
      <c r="A35">
        <v>1</v>
      </c>
      <c r="B35" s="1">
        <v>0.113707</v>
      </c>
      <c r="C35" s="1">
        <v>110687</v>
      </c>
      <c r="H35">
        <f t="shared" si="1"/>
        <v>0.93895206189002045</v>
      </c>
      <c r="I35" s="1">
        <f>(Equation_Sheet!$B$2-'0.8'!C35)/'0.96'!$T$2</f>
        <v>-0.13366724924975576</v>
      </c>
    </row>
    <row r="36" spans="1:9" x14ac:dyDescent="0.3">
      <c r="A36">
        <v>1</v>
      </c>
      <c r="B36" s="1">
        <v>0.11623</v>
      </c>
      <c r="C36" s="1">
        <v>110223</v>
      </c>
      <c r="H36">
        <f t="shared" si="1"/>
        <v>0.95423676446533834</v>
      </c>
      <c r="I36" s="1">
        <f>(Equation_Sheet!$B$2-'0.8'!C36)/'0.96'!$T$2</f>
        <v>-0.33008390073897864</v>
      </c>
    </row>
    <row r="37" spans="1:9" x14ac:dyDescent="0.3">
      <c r="A37">
        <v>1</v>
      </c>
      <c r="B37" s="1">
        <v>0.118344</v>
      </c>
      <c r="C37" s="1">
        <v>121408</v>
      </c>
      <c r="H37">
        <f t="shared" si="1"/>
        <v>0.96704368529142715</v>
      </c>
      <c r="I37" s="1">
        <f>(Equation_Sheet!$B$2-'0.8'!C37)/'0.96'!$T$2</f>
        <v>-0.1933657865748197</v>
      </c>
    </row>
    <row r="38" spans="1:9" x14ac:dyDescent="0.3">
      <c r="A38">
        <v>1</v>
      </c>
      <c r="B38" s="1">
        <v>0.12010800000000001</v>
      </c>
      <c r="C38" s="1">
        <v>118663</v>
      </c>
      <c r="H38">
        <f t="shared" si="1"/>
        <v>0.97773025498736865</v>
      </c>
      <c r="I38" s="1">
        <f>(Equation_Sheet!$B$2-'0.8'!C38)/'0.96'!$T$2</f>
        <v>-0.38911321608281868</v>
      </c>
    </row>
    <row r="39" spans="1:9" x14ac:dyDescent="0.3">
      <c r="A39">
        <v>1</v>
      </c>
      <c r="B39" s="1">
        <v>0.121572</v>
      </c>
      <c r="C39" s="1">
        <v>128578</v>
      </c>
      <c r="H39">
        <f t="shared" si="1"/>
        <v>0.9865993808574699</v>
      </c>
      <c r="I39" s="1">
        <f>(Equation_Sheet!$B$2-'0.8'!C39)/'0.96'!$T$2</f>
        <v>-0.75015847495312793</v>
      </c>
    </row>
    <row r="40" spans="1:9" x14ac:dyDescent="0.3">
      <c r="A40">
        <v>1</v>
      </c>
      <c r="B40" s="1">
        <v>0.122784</v>
      </c>
      <c r="C40" s="1">
        <v>152208</v>
      </c>
      <c r="H40">
        <f t="shared" si="1"/>
        <v>0.99394185391386525</v>
      </c>
      <c r="I40" s="1">
        <f>(Equation_Sheet!$B$2-'0.8'!C40)/'0.96'!$T$2</f>
        <v>2.5174556293688356E-2</v>
      </c>
    </row>
    <row r="41" spans="1:9" x14ac:dyDescent="0.3">
      <c r="I41" s="1"/>
    </row>
    <row r="42" spans="1:9" x14ac:dyDescent="0.3">
      <c r="A42">
        <v>2</v>
      </c>
      <c r="B42" s="1">
        <v>-4.1184499999999999E-2</v>
      </c>
      <c r="C42" s="1">
        <v>144649</v>
      </c>
      <c r="H42">
        <f>(B43-$E$2)/$F$2</f>
        <v>2.2560536024765813E-3</v>
      </c>
      <c r="I42" s="1">
        <f>(Equation_Sheet!$B$2-'0.8'!C42)/'0.96'!$T$2</f>
        <v>-0.68713351072139206</v>
      </c>
    </row>
    <row r="43" spans="1:9" x14ac:dyDescent="0.3">
      <c r="A43">
        <v>2</v>
      </c>
      <c r="B43" s="1">
        <v>-4.0910599999999998E-2</v>
      </c>
      <c r="C43" s="1">
        <v>144299</v>
      </c>
      <c r="H43">
        <f>(B44-$E$2)/$F$2</f>
        <v>5.1603288361695534E-3</v>
      </c>
      <c r="I43" s="1">
        <f>(Equation_Sheet!$B$2-'0.8'!C43)/'0.96'!$T$2</f>
        <v>-0.45534650922453979</v>
      </c>
    </row>
    <row r="44" spans="1:9" x14ac:dyDescent="0.3">
      <c r="A44">
        <v>2</v>
      </c>
      <c r="B44" s="1">
        <v>-4.04312E-2</v>
      </c>
      <c r="C44" s="1">
        <v>126238</v>
      </c>
      <c r="H44">
        <f>(B45-$E$2)/$F$2</f>
        <v>9.2810798039583836E-3</v>
      </c>
      <c r="I44" s="1">
        <f>(Equation_Sheet!$B$2-'0.8'!C44)/'0.96'!$T$2</f>
        <v>-0.51591109852530526</v>
      </c>
    </row>
    <row r="45" spans="1:9" x14ac:dyDescent="0.3">
      <c r="A45">
        <v>2</v>
      </c>
      <c r="B45" s="1">
        <v>-3.9751000000000002E-2</v>
      </c>
      <c r="C45" s="1">
        <v>103128</v>
      </c>
      <c r="H45">
        <f>(B46-$E$2)/$F$2</f>
        <v>1.4922425439367035E-2</v>
      </c>
      <c r="I45" s="1">
        <f>(Equation_Sheet!$B$2-'0.8'!C45)/'0.96'!$T$2</f>
        <v>-0.3674225506913843</v>
      </c>
    </row>
    <row r="46" spans="1:9" x14ac:dyDescent="0.3">
      <c r="A46">
        <v>2</v>
      </c>
      <c r="B46" s="1">
        <v>-3.8819800000000002E-2</v>
      </c>
      <c r="C46" s="1">
        <v>100547</v>
      </c>
      <c r="H46">
        <f>(B47-$E$2)/$F$2</f>
        <v>2.2237031023766122E-2</v>
      </c>
      <c r="I46" s="1">
        <f>(Equation_Sheet!$B$2-'0.8'!C46)/'0.96'!$T$2</f>
        <v>-0.4539293332643009</v>
      </c>
    </row>
    <row r="47" spans="1:9" x14ac:dyDescent="0.3">
      <c r="A47">
        <v>2</v>
      </c>
      <c r="B47" s="1">
        <v>-3.7612399999999997E-2</v>
      </c>
      <c r="C47" s="1">
        <v>82980.399999999994</v>
      </c>
      <c r="H47">
        <f>(B48-$E$2)/$F$2</f>
        <v>3.1422997934172185E-2</v>
      </c>
      <c r="I47" s="1">
        <f>(Equation_Sheet!$B$2-'0.8'!C47)/'0.96'!$T$2</f>
        <v>-0.37547289746551921</v>
      </c>
    </row>
    <row r="48" spans="1:9" x14ac:dyDescent="0.3">
      <c r="A48">
        <v>2</v>
      </c>
      <c r="B48" s="1">
        <v>-3.6096099999999999E-2</v>
      </c>
      <c r="C48" s="1">
        <v>74246</v>
      </c>
      <c r="H48">
        <f>(B49-$E$2)/$F$2</f>
        <v>4.2729315974725422E-2</v>
      </c>
      <c r="I48" s="1">
        <f>(Equation_Sheet!$B$2-'0.8'!C48)/'0.96'!$T$2</f>
        <v>-0.23294829846427026</v>
      </c>
    </row>
    <row r="49" spans="1:9" x14ac:dyDescent="0.3">
      <c r="A49">
        <v>2</v>
      </c>
      <c r="B49" s="1">
        <v>-3.4229799999999998E-2</v>
      </c>
      <c r="C49" s="1">
        <v>70436.5</v>
      </c>
      <c r="H49">
        <f>(B50-$E$2)/$F$2</f>
        <v>5.6451622674429172E-2</v>
      </c>
      <c r="I49" s="1">
        <f>(Equation_Sheet!$B$2-'0.8'!C49)/'0.96'!$T$2</f>
        <v>-0.10187920514161918</v>
      </c>
    </row>
    <row r="50" spans="1:9" x14ac:dyDescent="0.3">
      <c r="A50">
        <v>2</v>
      </c>
      <c r="B50" s="1">
        <v>-3.1964699999999999E-2</v>
      </c>
      <c r="C50" s="1">
        <v>67849.2</v>
      </c>
      <c r="H50">
        <f>(B51-$E$2)/$F$2</f>
        <v>7.2921298624195011E-2</v>
      </c>
      <c r="I50" s="1">
        <f>(Equation_Sheet!$B$2-'0.8'!C50)/'0.96'!$T$2</f>
        <v>-2.9307986177718497E-2</v>
      </c>
    </row>
    <row r="51" spans="1:9" x14ac:dyDescent="0.3">
      <c r="A51">
        <v>2</v>
      </c>
      <c r="B51" s="1">
        <v>-2.9246100000000001E-2</v>
      </c>
      <c r="C51" s="1">
        <v>64923.5</v>
      </c>
      <c r="H51">
        <f>(B52-$E$2)/$F$2</f>
        <v>9.248971629701877E-2</v>
      </c>
      <c r="I51" s="1">
        <f>(Equation_Sheet!$B$2-'0.8'!C51)/'0.96'!$T$2</f>
        <v>5.3598775796202425E-2</v>
      </c>
    </row>
    <row r="52" spans="1:9" x14ac:dyDescent="0.3">
      <c r="A52">
        <v>2</v>
      </c>
      <c r="B52" s="1">
        <v>-2.6016000000000001E-2</v>
      </c>
      <c r="C52" s="1">
        <v>61097.599999999999</v>
      </c>
      <c r="H52">
        <f>(B53-$E$2)/$F$2</f>
        <v>0.11550824816589626</v>
      </c>
      <c r="I52" s="1">
        <f>(Equation_Sheet!$B$2-'0.8'!C52)/'0.96'!$T$2</f>
        <v>0.11633833653594569</v>
      </c>
    </row>
    <row r="53" spans="1:9" x14ac:dyDescent="0.3">
      <c r="A53">
        <v>2</v>
      </c>
      <c r="B53" s="1">
        <v>-2.2216400000000001E-2</v>
      </c>
      <c r="C53" s="1">
        <v>60007.8</v>
      </c>
      <c r="H53">
        <f>(B54-$E$2)/$F$2</f>
        <v>0.14230161086104429</v>
      </c>
      <c r="I53" s="1">
        <f>(Equation_Sheet!$B$2-'0.8'!C53)/'0.96'!$T$2</f>
        <v>0.17296238934726887</v>
      </c>
    </row>
    <row r="54" spans="1:9" x14ac:dyDescent="0.3">
      <c r="A54">
        <v>2</v>
      </c>
      <c r="B54" s="1">
        <v>-1.7793699999999999E-2</v>
      </c>
      <c r="C54" s="1">
        <v>59661.8</v>
      </c>
      <c r="H54">
        <f>(B55-$E$2)/$F$2</f>
        <v>0.17313030466416665</v>
      </c>
      <c r="I54" s="1">
        <f>(Equation_Sheet!$B$2-'0.8'!C54)/'0.96'!$T$2</f>
        <v>0.17282854495102432</v>
      </c>
    </row>
    <row r="55" spans="1:9" x14ac:dyDescent="0.3">
      <c r="A55">
        <v>2</v>
      </c>
      <c r="B55" s="1">
        <v>-1.27049E-2</v>
      </c>
      <c r="C55" s="1">
        <v>60114.7</v>
      </c>
      <c r="H55">
        <f>(B56-$E$2)/$F$2</f>
        <v>0.20815583974991972</v>
      </c>
      <c r="I55" s="1">
        <f>(Equation_Sheet!$B$2-'0.8'!C55)/'0.96'!$T$2</f>
        <v>0.19901087081643806</v>
      </c>
    </row>
    <row r="56" spans="1:9" x14ac:dyDescent="0.3">
      <c r="A56">
        <v>2</v>
      </c>
      <c r="B56" s="1">
        <v>-6.92334E-3</v>
      </c>
      <c r="C56" s="1">
        <v>63507.8</v>
      </c>
      <c r="H56">
        <f>(B57-$E$2)/$F$2</f>
        <v>0.2473920044587955</v>
      </c>
      <c r="I56" s="1">
        <f>(Equation_Sheet!$B$2-'0.8'!C56)/'0.96'!$T$2</f>
        <v>0.22991908484925971</v>
      </c>
    </row>
    <row r="57" spans="1:9" x14ac:dyDescent="0.3">
      <c r="A57">
        <v>2</v>
      </c>
      <c r="B57" s="1">
        <v>-4.46744E-4</v>
      </c>
      <c r="C57" s="1">
        <v>72656.7</v>
      </c>
      <c r="H57">
        <f>(B58-$E$2)/$F$2</f>
        <v>0.29066881932790922</v>
      </c>
      <c r="I57" s="1">
        <f>(Equation_Sheet!$B$2-'0.8'!C57)/'0.96'!$T$2</f>
        <v>0.22712409892767743</v>
      </c>
    </row>
    <row r="58" spans="1:9" x14ac:dyDescent="0.3">
      <c r="A58">
        <v>2</v>
      </c>
      <c r="B58" s="1">
        <v>6.69683E-3</v>
      </c>
      <c r="C58" s="1">
        <v>80593.7</v>
      </c>
      <c r="H58">
        <f>(B59-$E$2)/$F$2</f>
        <v>0.33760230694202953</v>
      </c>
      <c r="I58" s="1">
        <f>(Equation_Sheet!$B$2-'0.8'!C58)/'0.96'!$T$2</f>
        <v>0.23148978820519095</v>
      </c>
    </row>
    <row r="59" spans="1:9" x14ac:dyDescent="0.3">
      <c r="A59">
        <v>2</v>
      </c>
      <c r="B59" s="1">
        <v>1.4444E-2</v>
      </c>
      <c r="C59" s="1">
        <v>83247.399999999994</v>
      </c>
      <c r="H59">
        <f>(B60-$E$2)/$F$2</f>
        <v>0.38758322378185822</v>
      </c>
      <c r="I59" s="1">
        <f>(Equation_Sheet!$B$2-'0.8'!C59)/'0.96'!$T$2</f>
        <v>0.22974784275406396</v>
      </c>
    </row>
    <row r="60" spans="1:9" x14ac:dyDescent="0.3">
      <c r="A60">
        <v>2</v>
      </c>
      <c r="B60" s="1">
        <v>2.2694200000000001E-2</v>
      </c>
      <c r="C60" s="1">
        <v>85439.8</v>
      </c>
      <c r="H60">
        <f>(B61-$E$2)/$F$2</f>
        <v>0.43979475001060175</v>
      </c>
      <c r="I60" s="1">
        <f>(Equation_Sheet!$B$2-'0.8'!C60)/'0.96'!$T$2</f>
        <v>0.21423960748917192</v>
      </c>
    </row>
    <row r="61" spans="1:9" x14ac:dyDescent="0.3">
      <c r="A61">
        <v>2</v>
      </c>
      <c r="B61" s="1">
        <v>3.1312600000000003E-2</v>
      </c>
      <c r="C61" s="1">
        <v>87450.8</v>
      </c>
      <c r="H61">
        <f>(B62-$E$2)/$F$2</f>
        <v>0.49325061944543724</v>
      </c>
      <c r="I61" s="1">
        <f>(Equation_Sheet!$B$2-'0.8'!C61)/'0.96'!$T$2</f>
        <v>0.19719216166746464</v>
      </c>
    </row>
    <row r="62" spans="1:9" x14ac:dyDescent="0.3">
      <c r="A62">
        <v>2</v>
      </c>
      <c r="B62" s="1">
        <v>4.0136400000000003E-2</v>
      </c>
      <c r="C62" s="1">
        <v>89639.1</v>
      </c>
      <c r="H62">
        <f>(B63-$E$2)/$F$2</f>
        <v>0.54686763556616391</v>
      </c>
      <c r="I62" s="1">
        <f>(Equation_Sheet!$B$2-'0.8'!C62)/'0.96'!$T$2</f>
        <v>0.17441105810662433</v>
      </c>
    </row>
    <row r="63" spans="1:9" x14ac:dyDescent="0.3">
      <c r="A63">
        <v>2</v>
      </c>
      <c r="B63" s="1">
        <v>4.8986799999999997E-2</v>
      </c>
      <c r="C63" s="1">
        <v>91354.4</v>
      </c>
      <c r="H63">
        <f>(B64-$E$2)/$F$2</f>
        <v>0.59954685067275715</v>
      </c>
      <c r="I63" s="1">
        <f>(Equation_Sheet!$B$2-'0.8'!C63)/'0.96'!$T$2</f>
        <v>0.15476348805786777</v>
      </c>
    </row>
    <row r="64" spans="1:9" x14ac:dyDescent="0.3">
      <c r="A64">
        <v>2</v>
      </c>
      <c r="B64" s="1">
        <v>5.7682400000000002E-2</v>
      </c>
      <c r="C64" s="1">
        <v>93021</v>
      </c>
      <c r="H64">
        <f>(B65-$E$2)/$F$2</f>
        <v>0.6502632264474425</v>
      </c>
      <c r="I64" s="1">
        <f>(Equation_Sheet!$B$2-'0.8'!C64)/'0.96'!$T$2</f>
        <v>0.13221661219045572</v>
      </c>
    </row>
    <row r="65" spans="1:9" x14ac:dyDescent="0.3">
      <c r="A65">
        <v>2</v>
      </c>
      <c r="B65" s="1">
        <v>6.6054000000000002E-2</v>
      </c>
      <c r="C65" s="1">
        <v>94594.2</v>
      </c>
      <c r="H65">
        <f>(B66-$E$2)/$F$2</f>
        <v>0.69813954333694794</v>
      </c>
      <c r="I65" s="1">
        <f>(Equation_Sheet!$B$2-'0.8'!C65)/'0.96'!$T$2</f>
        <v>0.1088627333456854</v>
      </c>
    </row>
    <row r="66" spans="1:9" x14ac:dyDescent="0.3">
      <c r="A66">
        <v>2</v>
      </c>
      <c r="B66" s="1">
        <v>7.3956800000000003E-2</v>
      </c>
      <c r="C66" s="1">
        <v>96062.5</v>
      </c>
      <c r="H66">
        <f>(B67-$E$2)/$F$2</f>
        <v>0.74250031805266947</v>
      </c>
      <c r="I66" s="1">
        <f>(Equation_Sheet!$B$2-'0.8'!C66)/'0.96'!$T$2</f>
        <v>8.4703819823501419E-2</v>
      </c>
    </row>
    <row r="67" spans="1:9" x14ac:dyDescent="0.3">
      <c r="A67">
        <v>2</v>
      </c>
      <c r="B67" s="1">
        <v>8.1279299999999999E-2</v>
      </c>
      <c r="C67" s="1">
        <v>97642.7</v>
      </c>
      <c r="H67">
        <f>(B68-$E$2)/$F$2</f>
        <v>0.78289967104266733</v>
      </c>
      <c r="I67" s="1">
        <f>(Equation_Sheet!$B$2-'0.8'!C67)/'0.96'!$T$2</f>
        <v>6.3164713527815053E-2</v>
      </c>
    </row>
    <row r="68" spans="1:9" x14ac:dyDescent="0.3">
      <c r="A68">
        <v>2</v>
      </c>
      <c r="B68" s="1">
        <v>8.7947899999999996E-2</v>
      </c>
      <c r="C68" s="1">
        <v>99066.6</v>
      </c>
      <c r="H68">
        <f>(B69-$E$2)/$F$2</f>
        <v>0.81911345090175502</v>
      </c>
      <c r="I68" s="1">
        <f>(Equation_Sheet!$B$2-'0.8'!C68)/'0.96'!$T$2</f>
        <v>4.3182532488446237E-2</v>
      </c>
    </row>
    <row r="69" spans="1:9" x14ac:dyDescent="0.3">
      <c r="A69">
        <v>2</v>
      </c>
      <c r="B69" s="1">
        <v>9.3925599999999998E-2</v>
      </c>
      <c r="C69" s="1">
        <v>100447</v>
      </c>
      <c r="H69">
        <f>(B70-$E$2)/$F$2</f>
        <v>0.85111681923097871</v>
      </c>
      <c r="I69" s="1">
        <f>(Equation_Sheet!$B$2-'0.8'!C69)/'0.96'!$T$2</f>
        <v>1.9446803454389441E-2</v>
      </c>
    </row>
    <row r="70" spans="1:9" x14ac:dyDescent="0.3">
      <c r="A70">
        <v>2</v>
      </c>
      <c r="B70" s="1">
        <v>9.9208299999999999E-2</v>
      </c>
      <c r="C70" s="1">
        <v>102204</v>
      </c>
      <c r="H70">
        <f>(B71-$E$2)/$F$2</f>
        <v>0.87904911339032021</v>
      </c>
      <c r="I70" s="1">
        <f>(Equation_Sheet!$B$2-'0.8'!C70)/'0.96'!$T$2</f>
        <v>-1.4368589596866692E-3</v>
      </c>
    </row>
    <row r="71" spans="1:9" x14ac:dyDescent="0.3">
      <c r="A71">
        <v>2</v>
      </c>
      <c r="B71" s="1">
        <v>0.10381899999999999</v>
      </c>
      <c r="C71" s="1">
        <v>103630</v>
      </c>
      <c r="H71">
        <f>(B72-$E$2)/$F$2</f>
        <v>0.9031544766670504</v>
      </c>
      <c r="I71" s="1">
        <f>(Equation_Sheet!$B$2-'0.8'!C71)/'0.96'!$T$2</f>
        <v>-1.9840463443344693E-2</v>
      </c>
    </row>
    <row r="72" spans="1:9" x14ac:dyDescent="0.3">
      <c r="A72">
        <v>2</v>
      </c>
      <c r="B72" s="1">
        <v>0.107798</v>
      </c>
      <c r="C72" s="1">
        <v>105202</v>
      </c>
      <c r="H72">
        <f>(B73-$E$2)/$F$2</f>
        <v>0.9237703477981668</v>
      </c>
      <c r="I72" s="1">
        <f>(Equation_Sheet!$B$2-'0.8'!C72)/'0.96'!$T$2</f>
        <v>-5.5939084430541283E-2</v>
      </c>
    </row>
    <row r="73" spans="1:9" x14ac:dyDescent="0.3">
      <c r="A73">
        <v>2</v>
      </c>
      <c r="B73" s="1">
        <v>0.11120099999999999</v>
      </c>
      <c r="C73" s="1">
        <v>107170</v>
      </c>
      <c r="H73">
        <f>(B74-$E$2)/$F$2</f>
        <v>0.94125415740275153</v>
      </c>
      <c r="I73" s="1">
        <f>(Equation_Sheet!$B$2-'0.8'!C73)/'0.96'!$T$2</f>
        <v>-6.5229460169885234E-2</v>
      </c>
    </row>
    <row r="74" spans="1:9" x14ac:dyDescent="0.3">
      <c r="A74">
        <v>2</v>
      </c>
      <c r="B74" s="1">
        <v>0.11408699999999999</v>
      </c>
      <c r="C74" s="1">
        <v>109614</v>
      </c>
      <c r="H74">
        <f>(B75-$E$2)/$F$2</f>
        <v>0.95597545239205883</v>
      </c>
      <c r="I74" s="1">
        <f>(Equation_Sheet!$B$2-'0.8'!C74)/'0.96'!$T$2</f>
        <v>-0.11868848667000843</v>
      </c>
    </row>
    <row r="75" spans="1:9" x14ac:dyDescent="0.3">
      <c r="A75">
        <v>2</v>
      </c>
      <c r="B75" s="1">
        <v>0.116517</v>
      </c>
      <c r="C75" s="1">
        <v>111327</v>
      </c>
      <c r="H75">
        <f>(B76-$E$2)/$F$2</f>
        <v>0.96830983782342916</v>
      </c>
      <c r="I75" s="1">
        <f>(Equation_Sheet!$B$2-'0.8'!C75)/'0.96'!$T$2</f>
        <v>-0.14555578091620436</v>
      </c>
    </row>
    <row r="76" spans="1:9" x14ac:dyDescent="0.3">
      <c r="A76">
        <v>2</v>
      </c>
      <c r="B76" s="1">
        <v>0.11855300000000001</v>
      </c>
      <c r="C76" s="1">
        <v>119145</v>
      </c>
      <c r="H76">
        <f>(B77-$E$2)/$F$2</f>
        <v>0.97858445358551371</v>
      </c>
      <c r="I76" s="1">
        <f>(Equation_Sheet!$B$2-'0.8'!C76)/'0.96'!$T$2</f>
        <v>-0.13652128416968135</v>
      </c>
    </row>
    <row r="77" spans="1:9" x14ac:dyDescent="0.3">
      <c r="A77">
        <v>2</v>
      </c>
      <c r="B77" s="1">
        <v>0.12024899999999999</v>
      </c>
      <c r="C77" s="1">
        <v>116248</v>
      </c>
      <c r="H77">
        <f>(B78-$E$2)/$F$2</f>
        <v>0.98712038142087744</v>
      </c>
      <c r="I77" s="1">
        <f>(Equation_Sheet!$B$2-'0.8'!C77)/'0.96'!$T$2</f>
        <v>-0.34368485335738264</v>
      </c>
    </row>
    <row r="78" spans="1:9" x14ac:dyDescent="0.3">
      <c r="A78">
        <v>2</v>
      </c>
      <c r="B78" s="1">
        <v>0.121658</v>
      </c>
      <c r="C78" s="1">
        <v>126215</v>
      </c>
      <c r="H78">
        <f>(B79-$E$2)/$F$2</f>
        <v>0.99417206346513831</v>
      </c>
      <c r="I78" s="1">
        <f>(Equation_Sheet!$B$2-'0.8'!C78)/'0.96'!$T$2</f>
        <v>-0.18732310574435659</v>
      </c>
    </row>
    <row r="79" spans="1:9" x14ac:dyDescent="0.3">
      <c r="A79">
        <v>2</v>
      </c>
      <c r="B79" s="1">
        <v>0.122822</v>
      </c>
      <c r="C79" s="1">
        <v>144518</v>
      </c>
      <c r="H79">
        <f>(B80-$E$2)/$F$2</f>
        <v>1</v>
      </c>
      <c r="I79" s="1">
        <f>(Equation_Sheet!$B$2-'0.8'!C79)/'0.96'!$T$2</f>
        <v>-0.45001241637419614</v>
      </c>
    </row>
    <row r="80" spans="1:9" x14ac:dyDescent="0.3">
      <c r="A80">
        <v>2</v>
      </c>
      <c r="B80" s="1">
        <v>0.12378400000000001</v>
      </c>
      <c r="C80" s="1">
        <v>101204</v>
      </c>
    </row>
  </sheetData>
  <sortState xmlns:xlrd2="http://schemas.microsoft.com/office/spreadsheetml/2017/richdata2" ref="A2:C80">
    <sortCondition ref="A1:A8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D61A-A014-41C0-95F8-7A52C4721724}">
  <dimension ref="A1:AE2"/>
  <sheetViews>
    <sheetView workbookViewId="0">
      <selection activeCell="E2" sqref="E2"/>
    </sheetView>
  </sheetViews>
  <sheetFormatPr defaultRowHeight="16.5" x14ac:dyDescent="0.3"/>
  <cols>
    <col min="1" max="31" width="9" style="2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 s="2">
        <v>1.143</v>
      </c>
      <c r="B2" s="2">
        <v>101325</v>
      </c>
      <c r="C2" s="2">
        <v>288.14999999999998</v>
      </c>
      <c r="D2" s="2">
        <f>(2500*2*PI())/60</f>
        <v>261.79938779914943</v>
      </c>
      <c r="E2" s="2">
        <f>B2/(287*C2)</f>
        <v>1.2252256827617731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CD70-DF94-492F-BD9C-8635F67A3980}">
  <dimension ref="A2:V37"/>
  <sheetViews>
    <sheetView workbookViewId="0"/>
  </sheetViews>
  <sheetFormatPr defaultRowHeight="16.5" x14ac:dyDescent="0.3"/>
  <sheetData>
    <row r="2" spans="1:22" ht="17.25" thickBo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2" ht="17.25" thickBot="1" x14ac:dyDescent="0.35">
      <c r="A3" t="s">
        <v>18</v>
      </c>
      <c r="B3" s="9" t="s">
        <v>10</v>
      </c>
      <c r="C3" s="10" t="s">
        <v>11</v>
      </c>
      <c r="D3" s="9" t="s">
        <v>10</v>
      </c>
      <c r="E3" s="10" t="s">
        <v>12</v>
      </c>
      <c r="F3" s="9" t="s">
        <v>10</v>
      </c>
      <c r="G3" s="11" t="s">
        <v>13</v>
      </c>
      <c r="H3" s="9" t="s">
        <v>10</v>
      </c>
      <c r="I3" s="11" t="s">
        <v>14</v>
      </c>
      <c r="J3" s="9" t="s">
        <v>15</v>
      </c>
      <c r="K3" s="11" t="s">
        <v>16</v>
      </c>
      <c r="L3" s="12"/>
    </row>
    <row r="4" spans="1:22" x14ac:dyDescent="0.3">
      <c r="B4" s="3">
        <v>0</v>
      </c>
      <c r="C4" s="4">
        <v>0.91379999999999995</v>
      </c>
      <c r="D4" s="3">
        <v>0.02</v>
      </c>
      <c r="E4" s="4">
        <v>0.94159999999999999</v>
      </c>
      <c r="F4" s="3">
        <v>0</v>
      </c>
      <c r="G4" s="13">
        <v>-0.18529999999999999</v>
      </c>
      <c r="H4" s="3">
        <v>0.01</v>
      </c>
      <c r="I4" s="13">
        <v>0.44450000000000001</v>
      </c>
      <c r="J4" s="3">
        <v>0</v>
      </c>
      <c r="K4" s="13">
        <v>-1.0920000000000001</v>
      </c>
      <c r="L4" s="1"/>
    </row>
    <row r="5" spans="1:22" x14ac:dyDescent="0.3">
      <c r="B5" s="5">
        <v>0.03</v>
      </c>
      <c r="C5" s="6">
        <v>0.86909999999999998</v>
      </c>
      <c r="D5" s="5">
        <v>0.06</v>
      </c>
      <c r="E5" s="6">
        <v>0.93979999999999997</v>
      </c>
      <c r="F5" s="5">
        <v>0.03</v>
      </c>
      <c r="G5" s="14">
        <v>0.48320000000000002</v>
      </c>
      <c r="H5" s="5">
        <v>0.04</v>
      </c>
      <c r="I5" s="14">
        <v>0.85350000000000004</v>
      </c>
      <c r="J5" s="5">
        <v>0.02</v>
      </c>
      <c r="K5" s="14">
        <v>0.49940000000000001</v>
      </c>
      <c r="L5" s="1"/>
    </row>
    <row r="6" spans="1:22" x14ac:dyDescent="0.3">
      <c r="B6" s="5">
        <v>0.12</v>
      </c>
      <c r="C6" s="6">
        <v>0.71340000000000003</v>
      </c>
      <c r="D6" s="5">
        <v>0.1</v>
      </c>
      <c r="E6" s="6">
        <v>0.91080000000000005</v>
      </c>
      <c r="F6" s="5">
        <v>0.04</v>
      </c>
      <c r="G6" s="14">
        <v>1.153</v>
      </c>
      <c r="H6" s="5">
        <v>0.08</v>
      </c>
      <c r="I6" s="14">
        <v>0.91710000000000003</v>
      </c>
      <c r="J6" s="5">
        <v>7.0000000000000007E-2</v>
      </c>
      <c r="K6" s="14">
        <v>0.8911</v>
      </c>
      <c r="L6" s="1"/>
    </row>
    <row r="7" spans="1:22" x14ac:dyDescent="0.3">
      <c r="B7" s="5">
        <v>0.2</v>
      </c>
      <c r="C7" s="6">
        <v>0.53169999999999995</v>
      </c>
      <c r="D7" s="5">
        <v>0.15</v>
      </c>
      <c r="E7" s="6">
        <v>0.87250000000000005</v>
      </c>
      <c r="F7" s="5">
        <v>7.0000000000000007E-2</v>
      </c>
      <c r="G7" s="14">
        <v>1.1950000000000001</v>
      </c>
      <c r="H7" s="5">
        <v>0.1</v>
      </c>
      <c r="I7" s="14">
        <v>0.92349999999999999</v>
      </c>
      <c r="J7" s="5">
        <v>0.09</v>
      </c>
      <c r="K7" s="14">
        <v>0.97719999999999996</v>
      </c>
      <c r="L7" s="1"/>
    </row>
    <row r="8" spans="1:22" x14ac:dyDescent="0.3">
      <c r="B8" s="5">
        <v>0.47</v>
      </c>
      <c r="C8" s="6">
        <v>0.35170000000000001</v>
      </c>
      <c r="D8" s="5">
        <v>0.19</v>
      </c>
      <c r="E8" s="6">
        <v>0.72540000000000004</v>
      </c>
      <c r="F8" s="5">
        <v>0.13</v>
      </c>
      <c r="G8" s="14">
        <v>1.1559999999999999</v>
      </c>
      <c r="H8" s="5">
        <v>0.13</v>
      </c>
      <c r="I8" s="14">
        <v>1.046</v>
      </c>
      <c r="J8" s="5">
        <v>0.15</v>
      </c>
      <c r="K8" s="14">
        <v>1.0620000000000001</v>
      </c>
      <c r="L8" s="1"/>
    </row>
    <row r="9" spans="1:22" x14ac:dyDescent="0.3">
      <c r="B9" s="5">
        <v>0.69</v>
      </c>
      <c r="C9" s="6">
        <v>0.20549999999999999</v>
      </c>
      <c r="D9" s="5">
        <v>0.23</v>
      </c>
      <c r="E9" s="6">
        <v>0.64880000000000004</v>
      </c>
      <c r="F9" s="5">
        <v>0.17</v>
      </c>
      <c r="G9" s="14">
        <v>1.17</v>
      </c>
      <c r="H9" s="5">
        <v>0.17</v>
      </c>
      <c r="I9" s="14">
        <v>1.1160000000000001</v>
      </c>
      <c r="J9" s="5">
        <v>0.19</v>
      </c>
      <c r="K9" s="14">
        <v>1.028</v>
      </c>
      <c r="L9" s="15"/>
    </row>
    <row r="10" spans="1:22" ht="17.25" thickBot="1" x14ac:dyDescent="0.35">
      <c r="B10" s="7">
        <v>0.83</v>
      </c>
      <c r="C10" s="8">
        <v>8.7359999999999993E-2</v>
      </c>
      <c r="D10" s="5">
        <v>0.28999999999999998</v>
      </c>
      <c r="E10" s="6">
        <v>0.58340000000000003</v>
      </c>
      <c r="F10" s="5">
        <v>0.21</v>
      </c>
      <c r="G10" s="14">
        <v>1.0609999999999999</v>
      </c>
      <c r="H10" s="5">
        <v>0.21</v>
      </c>
      <c r="I10" s="14">
        <v>1.208</v>
      </c>
      <c r="J10" s="5">
        <v>0.27</v>
      </c>
      <c r="K10" s="14">
        <v>1.0820000000000001</v>
      </c>
      <c r="L10" s="1"/>
    </row>
    <row r="11" spans="1:22" x14ac:dyDescent="0.3">
      <c r="B11" s="16"/>
      <c r="C11" s="17"/>
      <c r="D11" s="5">
        <v>0.33</v>
      </c>
      <c r="E11" s="6">
        <v>0.53069999999999995</v>
      </c>
      <c r="F11" s="5">
        <v>0.26</v>
      </c>
      <c r="G11" s="14">
        <v>0.78390000000000004</v>
      </c>
      <c r="H11" s="5">
        <v>0.28999999999999998</v>
      </c>
      <c r="I11" s="14">
        <v>0.94720000000000004</v>
      </c>
      <c r="J11" s="5">
        <v>0.33</v>
      </c>
      <c r="K11" s="14">
        <v>0.66059999999999997</v>
      </c>
      <c r="L11" s="1"/>
    </row>
    <row r="12" spans="1:22" x14ac:dyDescent="0.3">
      <c r="B12" s="1"/>
      <c r="C12" s="18"/>
      <c r="D12" s="5">
        <v>0.34</v>
      </c>
      <c r="E12" s="6">
        <v>0.41830000000000001</v>
      </c>
      <c r="F12" s="5">
        <v>0.3</v>
      </c>
      <c r="G12" s="14">
        <v>0.73929999999999996</v>
      </c>
      <c r="H12" s="5">
        <v>0.3</v>
      </c>
      <c r="I12" s="14">
        <v>1.127</v>
      </c>
      <c r="J12" s="5">
        <v>0.39</v>
      </c>
      <c r="K12" s="14">
        <v>0.22370000000000001</v>
      </c>
      <c r="L12" s="1"/>
    </row>
    <row r="13" spans="1:22" x14ac:dyDescent="0.3">
      <c r="B13" s="1"/>
      <c r="C13" s="18"/>
      <c r="D13" s="5">
        <v>0.44</v>
      </c>
      <c r="E13" s="6">
        <v>0.39369999999999999</v>
      </c>
      <c r="F13" s="5">
        <v>0.35</v>
      </c>
      <c r="G13" s="14">
        <v>0.49280000000000002</v>
      </c>
      <c r="H13" s="5">
        <v>0.34</v>
      </c>
      <c r="I13" s="14">
        <v>1.0349999999999999</v>
      </c>
      <c r="J13" s="5">
        <v>0.44</v>
      </c>
      <c r="K13" s="14">
        <v>0.19470000000000001</v>
      </c>
      <c r="L13" s="1"/>
    </row>
    <row r="14" spans="1:22" x14ac:dyDescent="0.3">
      <c r="B14" s="1"/>
      <c r="C14" s="18"/>
      <c r="D14" s="5">
        <v>0.52</v>
      </c>
      <c r="E14" s="6">
        <v>0.32350000000000001</v>
      </c>
      <c r="F14" s="5">
        <v>0.4</v>
      </c>
      <c r="G14" s="14">
        <v>0.32019999999999998</v>
      </c>
      <c r="H14" s="5">
        <v>0.4</v>
      </c>
      <c r="I14" s="14">
        <v>0.57709999999999995</v>
      </c>
      <c r="J14" s="5">
        <v>0.49</v>
      </c>
      <c r="K14" s="14">
        <v>0.1394</v>
      </c>
      <c r="L14" s="1"/>
    </row>
    <row r="15" spans="1:22" x14ac:dyDescent="0.3">
      <c r="B15" s="1"/>
      <c r="C15" s="18"/>
      <c r="D15" s="5">
        <v>0.61</v>
      </c>
      <c r="E15" s="6">
        <v>0.2215</v>
      </c>
      <c r="F15" s="5">
        <v>0.5</v>
      </c>
      <c r="G15" s="14">
        <v>0.25840000000000002</v>
      </c>
      <c r="H15" s="5">
        <v>0.44</v>
      </c>
      <c r="I15" s="14">
        <v>0.37540000000000001</v>
      </c>
      <c r="J15" s="5">
        <v>0.51</v>
      </c>
      <c r="K15" s="14">
        <v>0.1174</v>
      </c>
      <c r="L15" s="1"/>
      <c r="N15" s="1"/>
      <c r="P15" s="1"/>
      <c r="R15" s="1"/>
      <c r="T15" s="1"/>
      <c r="V15" s="1"/>
    </row>
    <row r="16" spans="1:22" x14ac:dyDescent="0.3">
      <c r="B16" s="1"/>
      <c r="C16" s="18"/>
      <c r="D16" s="5">
        <v>0.73</v>
      </c>
      <c r="E16" s="6">
        <v>0.1338</v>
      </c>
      <c r="F16" s="5">
        <v>0.56000000000000005</v>
      </c>
      <c r="G16" s="14">
        <v>0.17480000000000001</v>
      </c>
      <c r="H16" s="5">
        <v>0.47</v>
      </c>
      <c r="I16" s="14">
        <v>0.21110000000000001</v>
      </c>
      <c r="J16" s="5">
        <v>0.61</v>
      </c>
      <c r="K16" s="14">
        <v>0.65269999999999995</v>
      </c>
      <c r="L16" s="1"/>
      <c r="N16" s="1"/>
      <c r="P16" s="1"/>
      <c r="R16" s="1"/>
      <c r="T16" s="1"/>
      <c r="V16" s="1"/>
    </row>
    <row r="17" spans="1:22" ht="17.25" thickBot="1" x14ac:dyDescent="0.35">
      <c r="B17" s="1"/>
      <c r="C17" s="1"/>
      <c r="D17" s="7">
        <v>0.8</v>
      </c>
      <c r="E17" s="8">
        <v>6.5299999999999997E-2</v>
      </c>
      <c r="F17" s="5">
        <v>0.65</v>
      </c>
      <c r="G17" s="14">
        <v>0.12759999999999999</v>
      </c>
      <c r="H17" s="5">
        <v>0.5</v>
      </c>
      <c r="I17" s="14">
        <v>0.13750000000000001</v>
      </c>
      <c r="J17" s="5">
        <v>0.76</v>
      </c>
      <c r="K17" s="14">
        <v>0.65269999999999995</v>
      </c>
      <c r="L17" s="1"/>
      <c r="N17" s="1"/>
      <c r="P17" s="1"/>
      <c r="R17" s="1"/>
      <c r="T17" s="1"/>
      <c r="V17" s="1"/>
    </row>
    <row r="18" spans="1:22" ht="17.25" thickBot="1" x14ac:dyDescent="0.35">
      <c r="B18" s="1"/>
      <c r="C18" s="1"/>
      <c r="D18" s="16"/>
      <c r="E18" s="1"/>
      <c r="F18" s="5">
        <v>0.74</v>
      </c>
      <c r="G18" s="14">
        <v>-8.0210000000000004E-2</v>
      </c>
      <c r="H18" s="5">
        <v>0.53</v>
      </c>
      <c r="I18" s="14">
        <v>9.98E-2</v>
      </c>
      <c r="J18" s="7">
        <v>0.9</v>
      </c>
      <c r="K18" s="19">
        <v>-6.0740000000000002E-2</v>
      </c>
      <c r="L18" s="1"/>
      <c r="N18" s="1"/>
      <c r="P18" s="1"/>
      <c r="R18" s="1"/>
      <c r="T18" s="1"/>
      <c r="V18" s="1"/>
    </row>
    <row r="19" spans="1:22" ht="17.25" thickBot="1" x14ac:dyDescent="0.35">
      <c r="B19" s="1"/>
      <c r="C19" s="1"/>
      <c r="D19" s="1"/>
      <c r="E19" s="1"/>
      <c r="F19" s="7">
        <v>0.9</v>
      </c>
      <c r="G19" s="19">
        <v>-8.0210000000000004E-2</v>
      </c>
      <c r="H19" s="5">
        <v>0.65</v>
      </c>
      <c r="I19" s="14">
        <v>-5.006E-2</v>
      </c>
      <c r="J19" s="20"/>
      <c r="K19" s="16"/>
      <c r="L19" s="1"/>
      <c r="N19" s="1"/>
      <c r="P19" s="1"/>
      <c r="R19" s="1"/>
      <c r="T19" s="1"/>
      <c r="V19" s="1"/>
    </row>
    <row r="20" spans="1:22" x14ac:dyDescent="0.3">
      <c r="B20" s="1"/>
      <c r="C20" s="1"/>
      <c r="D20" s="1"/>
      <c r="E20" s="1"/>
      <c r="F20" s="16"/>
      <c r="G20" s="17"/>
      <c r="H20" s="5">
        <v>0.8</v>
      </c>
      <c r="I20" s="14">
        <v>-6.7939999999999997E-3</v>
      </c>
      <c r="J20" s="15"/>
      <c r="K20" s="1"/>
      <c r="L20" s="1"/>
      <c r="N20" s="1"/>
      <c r="P20" s="1"/>
      <c r="R20" s="1"/>
      <c r="T20" s="1"/>
      <c r="V20" s="1"/>
    </row>
    <row r="21" spans="1:22" ht="17.25" thickBot="1" x14ac:dyDescent="0.35">
      <c r="B21" s="1"/>
      <c r="C21" s="1"/>
      <c r="D21" s="1"/>
      <c r="E21" s="1"/>
      <c r="F21" s="1"/>
      <c r="G21" s="18"/>
      <c r="H21" s="7">
        <v>0.87</v>
      </c>
      <c r="I21" s="19">
        <v>-7.1940000000000004E-2</v>
      </c>
      <c r="J21" s="15"/>
      <c r="K21" s="1"/>
      <c r="L21" s="1"/>
      <c r="N21" s="1"/>
      <c r="P21" s="1"/>
      <c r="R21" s="1"/>
      <c r="T21" s="1"/>
      <c r="V21" s="1"/>
    </row>
    <row r="22" spans="1:22" ht="17.25" thickBot="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"/>
      <c r="P22" s="1"/>
      <c r="R22" s="1"/>
      <c r="T22" s="1"/>
      <c r="V22" s="1"/>
    </row>
    <row r="23" spans="1:22" ht="17.25" thickBot="1" x14ac:dyDescent="0.35">
      <c r="A23" t="s">
        <v>17</v>
      </c>
      <c r="B23" s="9"/>
      <c r="C23" s="10"/>
      <c r="D23" s="9"/>
      <c r="E23" s="10"/>
      <c r="F23" s="9"/>
      <c r="G23" s="11"/>
      <c r="H23" s="9"/>
      <c r="I23" s="11"/>
      <c r="J23" s="9"/>
      <c r="K23" s="11"/>
      <c r="L23" s="1"/>
      <c r="N23" s="1"/>
      <c r="P23" s="1"/>
      <c r="R23" s="1"/>
      <c r="T23" s="1"/>
      <c r="V23" s="1"/>
    </row>
    <row r="24" spans="1:22" x14ac:dyDescent="0.3">
      <c r="B24" s="3">
        <v>0.04</v>
      </c>
      <c r="C24" s="4">
        <v>-5.6059999999999999E-2</v>
      </c>
      <c r="D24" s="3">
        <v>0</v>
      </c>
      <c r="E24" s="4">
        <v>-0.92689999999999995</v>
      </c>
      <c r="F24" s="3">
        <v>0.01</v>
      </c>
      <c r="G24" s="13">
        <v>-0.51749999999999996</v>
      </c>
      <c r="H24" s="3">
        <v>0.01</v>
      </c>
      <c r="I24" s="13">
        <v>-0.70269999999999999</v>
      </c>
      <c r="J24" s="3">
        <v>0</v>
      </c>
      <c r="K24" s="13">
        <v>-1.1140000000000001</v>
      </c>
      <c r="L24" s="1"/>
      <c r="N24" s="1"/>
      <c r="P24" s="1"/>
      <c r="R24" s="1"/>
      <c r="T24" s="1"/>
      <c r="V24" s="1"/>
    </row>
    <row r="25" spans="1:22" x14ac:dyDescent="0.3">
      <c r="B25" s="5">
        <v>0.2</v>
      </c>
      <c r="C25" s="6">
        <v>-0.27579999999999999</v>
      </c>
      <c r="D25" s="5">
        <v>7.0000000000000007E-2</v>
      </c>
      <c r="E25" s="6">
        <v>-2.0590000000000001E-2</v>
      </c>
      <c r="F25" s="5">
        <v>0.02</v>
      </c>
      <c r="G25" s="14">
        <v>-0.36909999999999998</v>
      </c>
      <c r="H25" s="5">
        <v>0.04</v>
      </c>
      <c r="I25" s="14">
        <v>-0.27450000000000002</v>
      </c>
      <c r="J25" s="5">
        <v>7.0000000000000007E-2</v>
      </c>
      <c r="K25" s="14">
        <v>-8.7739999999999999E-2</v>
      </c>
    </row>
    <row r="26" spans="1:22" x14ac:dyDescent="0.3">
      <c r="B26" s="5">
        <v>0.28000000000000003</v>
      </c>
      <c r="C26" s="6">
        <v>-0.2195</v>
      </c>
      <c r="D26" s="5">
        <v>0.18</v>
      </c>
      <c r="E26" s="6">
        <v>0.25319999999999998</v>
      </c>
      <c r="F26" s="5">
        <v>0.14000000000000001</v>
      </c>
      <c r="G26" s="14">
        <v>0.16009999999999999</v>
      </c>
      <c r="H26" s="5">
        <v>0.14000000000000001</v>
      </c>
      <c r="I26" s="14">
        <v>0.18859999999999999</v>
      </c>
      <c r="J26" s="5">
        <v>0.16</v>
      </c>
      <c r="K26" s="14">
        <v>0.2487</v>
      </c>
    </row>
    <row r="27" spans="1:22" x14ac:dyDescent="0.3">
      <c r="B27" s="5">
        <v>0.46</v>
      </c>
      <c r="C27" s="6">
        <v>-9.8610000000000003E-2</v>
      </c>
      <c r="D27" s="5">
        <v>0.28000000000000003</v>
      </c>
      <c r="E27" s="6">
        <v>0.28039999999999998</v>
      </c>
      <c r="F27" s="5">
        <v>0.21</v>
      </c>
      <c r="G27" s="14">
        <v>0.25340000000000001</v>
      </c>
      <c r="H27" s="5">
        <v>0.28000000000000003</v>
      </c>
      <c r="I27" s="14">
        <v>0.30349999999999999</v>
      </c>
      <c r="J27" s="5">
        <v>0.33</v>
      </c>
      <c r="K27" s="14">
        <v>0.32379999999999998</v>
      </c>
    </row>
    <row r="28" spans="1:22" ht="17.25" thickBot="1" x14ac:dyDescent="0.35">
      <c r="B28" s="7">
        <v>0.85</v>
      </c>
      <c r="C28" s="8">
        <v>-3.6740000000000002E-2</v>
      </c>
      <c r="D28" s="5">
        <v>0.38</v>
      </c>
      <c r="E28" s="6">
        <v>0.23350000000000001</v>
      </c>
      <c r="F28" s="5">
        <v>0.34</v>
      </c>
      <c r="G28" s="14">
        <v>0.33019999999999999</v>
      </c>
      <c r="H28" s="5">
        <v>0.33</v>
      </c>
      <c r="I28" s="14">
        <v>0.25140000000000001</v>
      </c>
      <c r="J28" s="5">
        <v>0.39</v>
      </c>
      <c r="K28" s="14">
        <v>0.25580000000000003</v>
      </c>
    </row>
    <row r="29" spans="1:22" x14ac:dyDescent="0.3">
      <c r="B29" s="16"/>
      <c r="C29" s="17"/>
      <c r="D29" s="5">
        <v>0.51</v>
      </c>
      <c r="E29" s="6">
        <v>0.1467</v>
      </c>
      <c r="F29" s="5">
        <v>0.37</v>
      </c>
      <c r="G29" s="14">
        <v>0.28620000000000001</v>
      </c>
      <c r="H29" s="5">
        <v>0.51</v>
      </c>
      <c r="I29" s="14">
        <v>0.17580000000000001</v>
      </c>
      <c r="J29" s="5">
        <v>0.43</v>
      </c>
      <c r="K29" s="14">
        <v>0.17580000000000001</v>
      </c>
    </row>
    <row r="30" spans="1:22" ht="17.25" thickBot="1" x14ac:dyDescent="0.35">
      <c r="B30" s="1"/>
      <c r="C30" s="18"/>
      <c r="D30" s="7">
        <v>0.79</v>
      </c>
      <c r="E30" s="8">
        <v>2.036E-2</v>
      </c>
      <c r="F30" s="5">
        <v>0.47</v>
      </c>
      <c r="G30" s="14">
        <v>0.15340000000000001</v>
      </c>
      <c r="H30" s="5">
        <v>0.69</v>
      </c>
      <c r="I30" s="14">
        <v>-0.21929999999999999</v>
      </c>
      <c r="J30" s="5">
        <v>0.74</v>
      </c>
      <c r="K30" s="14">
        <v>6.4399999999999999E-2</v>
      </c>
    </row>
    <row r="31" spans="1:22" ht="17.25" thickBot="1" x14ac:dyDescent="0.35">
      <c r="B31" s="1"/>
      <c r="C31" s="1"/>
      <c r="D31" s="16"/>
      <c r="E31" s="1"/>
      <c r="F31" s="5">
        <v>0.74</v>
      </c>
      <c r="G31" s="14">
        <v>6.5570000000000003E-2</v>
      </c>
      <c r="H31" s="7">
        <v>0.9</v>
      </c>
      <c r="I31" s="19">
        <v>-7.3120000000000004E-2</v>
      </c>
      <c r="J31" s="7">
        <v>0.85</v>
      </c>
      <c r="K31" s="19">
        <v>1.1270000000000001E-2</v>
      </c>
    </row>
    <row r="32" spans="1:22" ht="17.25" thickBot="1" x14ac:dyDescent="0.35">
      <c r="B32" s="1"/>
      <c r="C32" s="1"/>
      <c r="D32" s="1"/>
      <c r="E32" s="18"/>
      <c r="F32" s="7">
        <v>0.99</v>
      </c>
      <c r="G32" s="19">
        <v>-6.4449999999999993E-2</v>
      </c>
      <c r="H32" s="20"/>
      <c r="I32" s="1"/>
      <c r="J32" s="16"/>
      <c r="K32" s="16"/>
    </row>
    <row r="33" spans="2:11" x14ac:dyDescent="0.3">
      <c r="B33" s="1"/>
      <c r="C33" s="1"/>
      <c r="D33" s="1"/>
      <c r="E33" s="1"/>
      <c r="F33" s="1"/>
      <c r="G33" s="16"/>
      <c r="H33" s="1"/>
      <c r="I33" s="1"/>
      <c r="J33" s="1"/>
      <c r="K33" s="1"/>
    </row>
    <row r="37" spans="2:1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0.5</vt:lpstr>
      <vt:lpstr>0.68</vt:lpstr>
      <vt:lpstr>0.8</vt:lpstr>
      <vt:lpstr>0.89</vt:lpstr>
      <vt:lpstr>0.96</vt:lpstr>
      <vt:lpstr>Equation_Sheet</vt:lpstr>
      <vt:lpstr>NASA_Exp.data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2025-11-20T08:34:12Z</dcterms:modified>
</cp:coreProperties>
</file>