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U2_forvtu\week_9\Excel\"/>
    </mc:Choice>
  </mc:AlternateContent>
  <xr:revisionPtr revIDLastSave="0" documentId="13_ncr:1_{E7DF4D3D-8176-46AD-951B-2EF6C50D9363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Total" sheetId="1" r:id="rId1"/>
    <sheet name="0.5" sheetId="2" r:id="rId2"/>
    <sheet name="0.68" sheetId="3" r:id="rId3"/>
    <sheet name="0.8" sheetId="4" r:id="rId4"/>
    <sheet name="0.89" sheetId="5" r:id="rId5"/>
    <sheet name="0.96" sheetId="6" r:id="rId6"/>
    <sheet name="Equation_Sheet" sheetId="7" r:id="rId7"/>
    <sheet name="NASA_Exp.data" sheetId="8" r:id="rId8"/>
  </sheets>
  <definedNames>
    <definedName name="_xlnm._FilterDatabase" localSheetId="2" hidden="1">'0.68'!$A$1:$D$82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6" l="1"/>
  <c r="S2" i="6"/>
  <c r="T2" i="6" s="1"/>
  <c r="T2" i="2"/>
  <c r="U2" i="2"/>
  <c r="V2" i="2" s="1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I2" i="5"/>
  <c r="D2" i="6"/>
  <c r="D2" i="5"/>
  <c r="D2" i="4"/>
  <c r="D2" i="3"/>
  <c r="Q19" i="8"/>
  <c r="O4" i="8"/>
  <c r="Q4" i="8"/>
  <c r="S4" i="8"/>
  <c r="U4" i="8"/>
  <c r="O5" i="8"/>
  <c r="Q5" i="8"/>
  <c r="S5" i="8"/>
  <c r="U5" i="8"/>
  <c r="O6" i="8"/>
  <c r="Q6" i="8"/>
  <c r="S6" i="8"/>
  <c r="U6" i="8"/>
  <c r="O7" i="8"/>
  <c r="Q7" i="8"/>
  <c r="S7" i="8"/>
  <c r="U7" i="8"/>
  <c r="O8" i="8"/>
  <c r="Q8" i="8"/>
  <c r="S8" i="8"/>
  <c r="U8" i="8"/>
  <c r="O9" i="8"/>
  <c r="Q9" i="8"/>
  <c r="S9" i="8"/>
  <c r="U9" i="8"/>
  <c r="O10" i="8"/>
  <c r="Q10" i="8"/>
  <c r="S10" i="8"/>
  <c r="U10" i="8"/>
  <c r="O11" i="8"/>
  <c r="Q11" i="8"/>
  <c r="S11" i="8"/>
  <c r="U11" i="8"/>
  <c r="O12" i="8"/>
  <c r="Q12" i="8"/>
  <c r="S12" i="8"/>
  <c r="U12" i="8"/>
  <c r="O13" i="8"/>
  <c r="Q13" i="8"/>
  <c r="S13" i="8"/>
  <c r="U13" i="8"/>
  <c r="O14" i="8"/>
  <c r="Q14" i="8"/>
  <c r="S14" i="8"/>
  <c r="U14" i="8"/>
  <c r="O15" i="8"/>
  <c r="Q15" i="8"/>
  <c r="S15" i="8"/>
  <c r="U15" i="8"/>
  <c r="O16" i="8"/>
  <c r="Q16" i="8"/>
  <c r="S16" i="8"/>
  <c r="U16" i="8"/>
  <c r="O17" i="8"/>
  <c r="Q17" i="8"/>
  <c r="S17" i="8"/>
  <c r="U17" i="8"/>
  <c r="Q18" i="8"/>
  <c r="S18" i="8"/>
  <c r="U18" i="8"/>
  <c r="S19" i="8"/>
  <c r="S20" i="8"/>
  <c r="S21" i="8"/>
  <c r="O24" i="8"/>
  <c r="Q24" i="8"/>
  <c r="S24" i="8"/>
  <c r="U24" i="8"/>
  <c r="O25" i="8"/>
  <c r="Q25" i="8"/>
  <c r="S25" i="8"/>
  <c r="U25" i="8"/>
  <c r="O26" i="8"/>
  <c r="Q26" i="8"/>
  <c r="S26" i="8"/>
  <c r="U26" i="8"/>
  <c r="O27" i="8"/>
  <c r="Q27" i="8"/>
  <c r="S27" i="8"/>
  <c r="U27" i="8"/>
  <c r="O28" i="8"/>
  <c r="Q28" i="8"/>
  <c r="S28" i="8"/>
  <c r="U28" i="8"/>
  <c r="O29" i="8"/>
  <c r="Q29" i="8"/>
  <c r="S29" i="8"/>
  <c r="U29" i="8"/>
  <c r="O30" i="8"/>
  <c r="Q30" i="8"/>
  <c r="S30" i="8"/>
  <c r="U30" i="8"/>
  <c r="Q31" i="8"/>
  <c r="S31" i="8"/>
  <c r="U31" i="8"/>
  <c r="Q32" i="8"/>
  <c r="M5" i="8"/>
  <c r="M6" i="8"/>
  <c r="M7" i="8"/>
  <c r="M8" i="8"/>
  <c r="M9" i="8"/>
  <c r="M10" i="8"/>
  <c r="M24" i="8"/>
  <c r="M25" i="8"/>
  <c r="M26" i="8"/>
  <c r="M27" i="8"/>
  <c r="M28" i="8"/>
  <c r="M4" i="8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2" i="2"/>
  <c r="T2" i="3"/>
  <c r="T2" i="4"/>
  <c r="T2" i="5"/>
  <c r="E3" i="6"/>
  <c r="F2" i="6" s="1"/>
  <c r="E2" i="6"/>
  <c r="R2" i="3"/>
  <c r="S2" i="3" s="1"/>
  <c r="S2" i="5"/>
  <c r="H3" i="5"/>
  <c r="H4" i="5"/>
  <c r="H8" i="5"/>
  <c r="H12" i="5"/>
  <c r="H18" i="5"/>
  <c r="H36" i="5"/>
  <c r="H46" i="5"/>
  <c r="H56" i="5"/>
  <c r="H64" i="5"/>
  <c r="H65" i="5"/>
  <c r="E3" i="5"/>
  <c r="F2" i="5" s="1"/>
  <c r="H11" i="5" s="1"/>
  <c r="E2" i="5"/>
  <c r="H9" i="5" s="1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2" i="4"/>
  <c r="S2" i="4"/>
  <c r="E3" i="4"/>
  <c r="F2" i="4" s="1"/>
  <c r="E2" i="4"/>
  <c r="E3" i="3"/>
  <c r="F2" i="3" s="1"/>
  <c r="E2" i="3"/>
  <c r="H3" i="3" s="1"/>
  <c r="E2" i="7"/>
  <c r="D2" i="7"/>
  <c r="E3" i="2"/>
  <c r="F2" i="2" s="1"/>
  <c r="E2" i="2"/>
  <c r="H30" i="2" s="1"/>
  <c r="I71" i="6" l="1"/>
  <c r="I43" i="6"/>
  <c r="I14" i="6"/>
  <c r="I70" i="6"/>
  <c r="I42" i="6"/>
  <c r="I13" i="6"/>
  <c r="I69" i="6"/>
  <c r="I40" i="6"/>
  <c r="I12" i="6"/>
  <c r="I67" i="6"/>
  <c r="I9" i="6"/>
  <c r="I2" i="6"/>
  <c r="I36" i="6"/>
  <c r="I68" i="6"/>
  <c r="I39" i="6"/>
  <c r="I11" i="6"/>
  <c r="I38" i="6"/>
  <c r="I66" i="6"/>
  <c r="I10" i="6"/>
  <c r="I8" i="6"/>
  <c r="I37" i="6"/>
  <c r="I65" i="6"/>
  <c r="I64" i="6"/>
  <c r="I35" i="6"/>
  <c r="I7" i="6"/>
  <c r="I63" i="6"/>
  <c r="I34" i="6"/>
  <c r="I6" i="6"/>
  <c r="I61" i="6"/>
  <c r="I32" i="6"/>
  <c r="I3" i="6"/>
  <c r="I62" i="6"/>
  <c r="I33" i="6"/>
  <c r="I5" i="6"/>
  <c r="I4" i="6"/>
  <c r="I31" i="6"/>
  <c r="I60" i="6"/>
  <c r="I59" i="6"/>
  <c r="I30" i="6"/>
  <c r="I15" i="6"/>
  <c r="I58" i="6"/>
  <c r="I29" i="6"/>
  <c r="I57" i="6"/>
  <c r="I28" i="6"/>
  <c r="I27" i="6"/>
  <c r="I56" i="6"/>
  <c r="I55" i="6"/>
  <c r="I26" i="6"/>
  <c r="I23" i="6"/>
  <c r="I44" i="6"/>
  <c r="I54" i="6"/>
  <c r="I25" i="6"/>
  <c r="I53" i="6"/>
  <c r="I24" i="6"/>
  <c r="I72" i="6"/>
  <c r="I52" i="6"/>
  <c r="I79" i="6"/>
  <c r="I51" i="6"/>
  <c r="I22" i="6"/>
  <c r="I20" i="6"/>
  <c r="I78" i="6"/>
  <c r="I50" i="6"/>
  <c r="I21" i="6"/>
  <c r="I49" i="6"/>
  <c r="I77" i="6"/>
  <c r="I76" i="6"/>
  <c r="I48" i="6"/>
  <c r="I19" i="6"/>
  <c r="I75" i="6"/>
  <c r="I47" i="6"/>
  <c r="I18" i="6"/>
  <c r="I74" i="6"/>
  <c r="I46" i="6"/>
  <c r="I17" i="6"/>
  <c r="I73" i="6"/>
  <c r="I45" i="6"/>
  <c r="I16" i="6"/>
  <c r="I67" i="2"/>
  <c r="I17" i="2"/>
  <c r="I18" i="2"/>
  <c r="I19" i="2"/>
  <c r="I70" i="2"/>
  <c r="I68" i="2"/>
  <c r="I69" i="2"/>
  <c r="I20" i="2"/>
  <c r="I42" i="2"/>
  <c r="I43" i="2"/>
  <c r="I71" i="2"/>
  <c r="I21" i="2"/>
  <c r="I76" i="2"/>
  <c r="I44" i="2"/>
  <c r="I72" i="2"/>
  <c r="I22" i="2"/>
  <c r="I73" i="2"/>
  <c r="I23" i="2"/>
  <c r="I24" i="2"/>
  <c r="I75" i="2"/>
  <c r="I45" i="2"/>
  <c r="I26" i="2"/>
  <c r="I46" i="2"/>
  <c r="I74" i="2"/>
  <c r="I25" i="2"/>
  <c r="I16" i="2"/>
  <c r="I47" i="2"/>
  <c r="I48" i="2"/>
  <c r="I49" i="2"/>
  <c r="I77" i="2"/>
  <c r="I27" i="2"/>
  <c r="I29" i="2"/>
  <c r="I30" i="2"/>
  <c r="I31" i="2"/>
  <c r="I50" i="2"/>
  <c r="I78" i="2"/>
  <c r="I28" i="2"/>
  <c r="I79" i="2"/>
  <c r="I80" i="2"/>
  <c r="I51" i="2"/>
  <c r="I3" i="2"/>
  <c r="I52" i="2"/>
  <c r="I53" i="2"/>
  <c r="I54" i="2"/>
  <c r="I4" i="2"/>
  <c r="I32" i="2"/>
  <c r="I55" i="2"/>
  <c r="I5" i="2"/>
  <c r="I33" i="2"/>
  <c r="I56" i="2"/>
  <c r="I6" i="2"/>
  <c r="I34" i="2"/>
  <c r="I7" i="2"/>
  <c r="I35" i="2"/>
  <c r="I66" i="2"/>
  <c r="I57" i="2"/>
  <c r="I58" i="2"/>
  <c r="I8" i="2"/>
  <c r="I36" i="2"/>
  <c r="I9" i="2"/>
  <c r="I37" i="2"/>
  <c r="I2" i="2"/>
  <c r="I59" i="2"/>
  <c r="I60" i="2"/>
  <c r="I10" i="2"/>
  <c r="I38" i="2"/>
  <c r="I13" i="2"/>
  <c r="I61" i="2"/>
  <c r="I11" i="2"/>
  <c r="I39" i="2"/>
  <c r="I14" i="2"/>
  <c r="I62" i="2"/>
  <c r="I12" i="2"/>
  <c r="I40" i="2"/>
  <c r="I63" i="2"/>
  <c r="I64" i="2"/>
  <c r="I65" i="2"/>
  <c r="I15" i="2"/>
  <c r="H7" i="5"/>
  <c r="H63" i="5"/>
  <c r="H34" i="5"/>
  <c r="H6" i="5"/>
  <c r="H62" i="5"/>
  <c r="H33" i="5"/>
  <c r="H5" i="5"/>
  <c r="H32" i="5"/>
  <c r="H31" i="5"/>
  <c r="H59" i="5"/>
  <c r="H30" i="5"/>
  <c r="H61" i="5"/>
  <c r="H60" i="5"/>
  <c r="H58" i="5"/>
  <c r="H29" i="5"/>
  <c r="H57" i="5"/>
  <c r="H28" i="5"/>
  <c r="H27" i="5"/>
  <c r="H55" i="5"/>
  <c r="H26" i="5"/>
  <c r="H80" i="5"/>
  <c r="H23" i="5"/>
  <c r="H2" i="5"/>
  <c r="H52" i="5"/>
  <c r="H79" i="5"/>
  <c r="H51" i="5"/>
  <c r="H22" i="5"/>
  <c r="H78" i="5"/>
  <c r="H50" i="5"/>
  <c r="H21" i="5"/>
  <c r="H77" i="5"/>
  <c r="H49" i="5"/>
  <c r="H20" i="5"/>
  <c r="H35" i="5"/>
  <c r="H54" i="5"/>
  <c r="H25" i="5"/>
  <c r="H53" i="5"/>
  <c r="H24" i="5"/>
  <c r="H76" i="5"/>
  <c r="H48" i="5"/>
  <c r="H19" i="5"/>
  <c r="H73" i="5"/>
  <c r="H45" i="5"/>
  <c r="H16" i="5"/>
  <c r="H75" i="5"/>
  <c r="H74" i="5"/>
  <c r="H72" i="5"/>
  <c r="H44" i="5"/>
  <c r="H15" i="5"/>
  <c r="H47" i="5"/>
  <c r="H17" i="5"/>
  <c r="H71" i="5"/>
  <c r="H43" i="5"/>
  <c r="H14" i="5"/>
  <c r="H13" i="5"/>
  <c r="H68" i="5"/>
  <c r="H42" i="5"/>
  <c r="H69" i="5"/>
  <c r="H39" i="5"/>
  <c r="H67" i="5"/>
  <c r="H38" i="5"/>
  <c r="H10" i="5"/>
  <c r="H70" i="5"/>
  <c r="H40" i="5"/>
  <c r="H66" i="5"/>
  <c r="H37" i="5"/>
  <c r="H14" i="6"/>
  <c r="H2" i="6"/>
  <c r="H7" i="6"/>
  <c r="H21" i="6"/>
  <c r="H63" i="6"/>
  <c r="H37" i="6"/>
  <c r="H35" i="6"/>
  <c r="H77" i="6"/>
  <c r="H36" i="6"/>
  <c r="H49" i="6"/>
  <c r="H8" i="6"/>
  <c r="H22" i="6"/>
  <c r="H50" i="6"/>
  <c r="H78" i="6"/>
  <c r="H65" i="6"/>
  <c r="H24" i="6"/>
  <c r="H10" i="6"/>
  <c r="H11" i="6"/>
  <c r="H25" i="6"/>
  <c r="H39" i="6"/>
  <c r="H53" i="6"/>
  <c r="H67" i="6"/>
  <c r="H71" i="6"/>
  <c r="H51" i="6"/>
  <c r="H56" i="6"/>
  <c r="H29" i="6"/>
  <c r="H57" i="6"/>
  <c r="H16" i="6"/>
  <c r="H30" i="6"/>
  <c r="H58" i="6"/>
  <c r="H72" i="6"/>
  <c r="H23" i="6"/>
  <c r="H52" i="6"/>
  <c r="H43" i="6"/>
  <c r="H79" i="6"/>
  <c r="H28" i="6"/>
  <c r="H42" i="6"/>
  <c r="H70" i="6"/>
  <c r="H38" i="6"/>
  <c r="H15" i="6"/>
  <c r="H44" i="6"/>
  <c r="H45" i="6"/>
  <c r="H59" i="6"/>
  <c r="H73" i="6"/>
  <c r="H4" i="6"/>
  <c r="H18" i="6"/>
  <c r="H32" i="6"/>
  <c r="H46" i="6"/>
  <c r="H60" i="6"/>
  <c r="H74" i="6"/>
  <c r="H64" i="6"/>
  <c r="H9" i="6"/>
  <c r="H66" i="6"/>
  <c r="H31" i="6"/>
  <c r="H17" i="6"/>
  <c r="H3" i="6"/>
  <c r="H69" i="6"/>
  <c r="H55" i="6"/>
  <c r="H27" i="6"/>
  <c r="H13" i="6"/>
  <c r="H68" i="6"/>
  <c r="H54" i="6"/>
  <c r="H40" i="6"/>
  <c r="H26" i="6"/>
  <c r="H12" i="6"/>
  <c r="H76" i="6"/>
  <c r="H62" i="6"/>
  <c r="H48" i="6"/>
  <c r="H34" i="6"/>
  <c r="H20" i="6"/>
  <c r="H6" i="6"/>
  <c r="H75" i="6"/>
  <c r="H61" i="6"/>
  <c r="H47" i="6"/>
  <c r="H33" i="6"/>
  <c r="H19" i="6"/>
  <c r="H5" i="6"/>
  <c r="H16" i="3"/>
  <c r="H15" i="3"/>
  <c r="H59" i="3"/>
  <c r="H72" i="3"/>
  <c r="H57" i="3"/>
  <c r="H43" i="3"/>
  <c r="H28" i="3"/>
  <c r="H14" i="3"/>
  <c r="H42" i="3"/>
  <c r="H13" i="3"/>
  <c r="H27" i="3"/>
  <c r="H29" i="3"/>
  <c r="H69" i="3"/>
  <c r="H55" i="3"/>
  <c r="H40" i="3"/>
  <c r="H26" i="3"/>
  <c r="H12" i="3"/>
  <c r="H11" i="3"/>
  <c r="H45" i="3"/>
  <c r="H58" i="3"/>
  <c r="H56" i="3"/>
  <c r="H68" i="3"/>
  <c r="H54" i="3"/>
  <c r="H39" i="3"/>
  <c r="H25" i="3"/>
  <c r="H2" i="3"/>
  <c r="H67" i="3"/>
  <c r="H53" i="3"/>
  <c r="H38" i="3"/>
  <c r="H24" i="3"/>
  <c r="H10" i="3"/>
  <c r="H70" i="3"/>
  <c r="H52" i="3"/>
  <c r="H30" i="3"/>
  <c r="H44" i="3"/>
  <c r="H66" i="3"/>
  <c r="H37" i="3"/>
  <c r="H23" i="3"/>
  <c r="H9" i="3"/>
  <c r="H79" i="3"/>
  <c r="H65" i="3"/>
  <c r="H51" i="3"/>
  <c r="H36" i="3"/>
  <c r="H22" i="3"/>
  <c r="H8" i="3"/>
  <c r="H78" i="3"/>
  <c r="H64" i="3"/>
  <c r="H50" i="3"/>
  <c r="H35" i="3"/>
  <c r="H21" i="3"/>
  <c r="H7" i="3"/>
  <c r="H77" i="3"/>
  <c r="H63" i="3"/>
  <c r="H49" i="3"/>
  <c r="H34" i="3"/>
  <c r="H20" i="3"/>
  <c r="H6" i="3"/>
  <c r="H76" i="3"/>
  <c r="H62" i="3"/>
  <c r="H48" i="3"/>
  <c r="H33" i="3"/>
  <c r="H19" i="3"/>
  <c r="H5" i="3"/>
  <c r="H71" i="3"/>
  <c r="H80" i="3"/>
  <c r="H73" i="3"/>
  <c r="H4" i="3"/>
  <c r="H75" i="3"/>
  <c r="H61" i="3"/>
  <c r="H47" i="3"/>
  <c r="H32" i="3"/>
  <c r="H18" i="3"/>
  <c r="H74" i="3"/>
  <c r="H60" i="3"/>
  <c r="H46" i="3"/>
  <c r="H31" i="3"/>
  <c r="H17" i="3"/>
  <c r="H68" i="2"/>
  <c r="H11" i="2"/>
  <c r="H43" i="2"/>
  <c r="H38" i="2"/>
  <c r="H42" i="2"/>
  <c r="H14" i="2"/>
  <c r="H28" i="2"/>
  <c r="H58" i="2"/>
  <c r="H29" i="2"/>
  <c r="H26" i="2"/>
  <c r="H70" i="2"/>
  <c r="H22" i="2"/>
  <c r="H27" i="2"/>
  <c r="H55" i="2"/>
  <c r="H25" i="2"/>
  <c r="H2" i="2"/>
  <c r="H24" i="2"/>
  <c r="H80" i="2"/>
  <c r="H52" i="2"/>
  <c r="H23" i="2"/>
  <c r="H51" i="2"/>
  <c r="H78" i="2"/>
  <c r="H21" i="2"/>
  <c r="H77" i="2"/>
  <c r="H49" i="2"/>
  <c r="H20" i="2"/>
  <c r="H48" i="2"/>
  <c r="H19" i="2"/>
  <c r="H75" i="2"/>
  <c r="H47" i="2"/>
  <c r="H18" i="2"/>
  <c r="H74" i="2"/>
  <c r="H46" i="2"/>
  <c r="H17" i="2"/>
  <c r="H73" i="2"/>
  <c r="H45" i="2"/>
  <c r="H16" i="2"/>
  <c r="H57" i="2"/>
  <c r="H56" i="2"/>
  <c r="H54" i="2"/>
  <c r="H53" i="2"/>
  <c r="H79" i="2"/>
  <c r="H50" i="2"/>
  <c r="H76" i="2"/>
  <c r="H72" i="2"/>
  <c r="H44" i="2"/>
  <c r="H15" i="2"/>
  <c r="H12" i="2"/>
  <c r="H71" i="2"/>
  <c r="H13" i="2"/>
  <c r="H69" i="2"/>
  <c r="H40" i="2"/>
  <c r="H39" i="2"/>
  <c r="H67" i="2"/>
  <c r="H10" i="2"/>
  <c r="H66" i="2"/>
  <c r="H37" i="2"/>
  <c r="H9" i="2"/>
  <c r="H65" i="2"/>
  <c r="H36" i="2"/>
  <c r="H8" i="2"/>
  <c r="H64" i="2"/>
  <c r="H35" i="2"/>
  <c r="H7" i="2"/>
  <c r="H63" i="2"/>
  <c r="H34" i="2"/>
  <c r="H6" i="2"/>
  <c r="H62" i="2"/>
  <c r="H33" i="2"/>
  <c r="H5" i="2"/>
  <c r="H61" i="2"/>
  <c r="H32" i="2"/>
  <c r="H4" i="2"/>
  <c r="H60" i="2"/>
  <c r="H31" i="2"/>
  <c r="H3" i="2"/>
  <c r="H59" i="2"/>
</calcChain>
</file>

<file path=xl/sharedStrings.xml><?xml version="1.0" encoding="utf-8"?>
<sst xmlns="http://schemas.openxmlformats.org/spreadsheetml/2006/main" count="43" uniqueCount="16">
  <si>
    <t>Points_1</t>
  </si>
  <si>
    <t>Pressure</t>
  </si>
  <si>
    <t>Caradonna_Radius</t>
    <phoneticPr fontId="1" type="noConversion"/>
  </si>
  <si>
    <t>Pressure [free_steam)</t>
    <phoneticPr fontId="1" type="noConversion"/>
  </si>
  <si>
    <t>Temp [free_stream]</t>
    <phoneticPr fontId="1" type="noConversion"/>
  </si>
  <si>
    <t>omega</t>
    <phoneticPr fontId="1" type="noConversion"/>
  </si>
  <si>
    <t>rho</t>
    <phoneticPr fontId="1" type="noConversion"/>
  </si>
  <si>
    <t>q</t>
    <phoneticPr fontId="1" type="noConversion"/>
  </si>
  <si>
    <t>r</t>
    <phoneticPr fontId="1" type="noConversion"/>
  </si>
  <si>
    <t>v</t>
    <phoneticPr fontId="1" type="noConversion"/>
  </si>
  <si>
    <t>x/c</t>
  </si>
  <si>
    <t>x/c</t>
    <phoneticPr fontId="2" type="noConversion"/>
  </si>
  <si>
    <t>Lower</t>
    <phoneticPr fontId="1" type="noConversion"/>
  </si>
  <si>
    <t>Upper</t>
    <phoneticPr fontId="1" type="noConversion"/>
  </si>
  <si>
    <t>P-P_inf</t>
    <phoneticPr fontId="1" type="noConversion"/>
  </si>
  <si>
    <t>Pressure_Coefficient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</si>
</sst>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Section (50%)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780324940083466E-2"/>
          <c:y val="0.21833119697247147"/>
          <c:w val="0.88727121308100898"/>
          <c:h val="0.7329423356964101"/>
        </c:manualLayout>
      </c:layout>
      <c:scatterChart>
        <c:scatterStyle val="lineMarker"/>
        <c:varyColors val="0"/>
        <c:ser>
          <c:idx val="0"/>
          <c:order val="0"/>
          <c:tx>
            <c:v>Su2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'0.5'!$H$2:$H$80</c:f>
              <c:numCache>
                <c:formatCode>General</c:formatCode>
                <c:ptCount val="79"/>
                <c:pt idx="0">
                  <c:v>0.99394185391386525</c:v>
                </c:pt>
                <c:pt idx="1">
                  <c:v>0.9865993808574699</c:v>
                </c:pt>
                <c:pt idx="2">
                  <c:v>0.97773025498736865</c:v>
                </c:pt>
                <c:pt idx="3">
                  <c:v>0.96704368529142715</c:v>
                </c:pt>
                <c:pt idx="4">
                  <c:v>0.95423676446533834</c:v>
                </c:pt>
                <c:pt idx="5">
                  <c:v>0.93895206189002045</c:v>
                </c:pt>
                <c:pt idx="6">
                  <c:v>0.92081397250813313</c:v>
                </c:pt>
                <c:pt idx="7">
                  <c:v>0.8994468912623359</c:v>
                </c:pt>
                <c:pt idx="8">
                  <c:v>0.87448127124137465</c:v>
                </c:pt>
                <c:pt idx="9">
                  <c:v>0.84559360744424983</c:v>
                </c:pt>
                <c:pt idx="10">
                  <c:v>0.81252824610612651</c:v>
                </c:pt>
                <c:pt idx="11">
                  <c:v>0.77516341849067349</c:v>
                </c:pt>
                <c:pt idx="12">
                  <c:v>0.73354092580588481</c:v>
                </c:pt>
                <c:pt idx="13">
                  <c:v>0.6879109694851181</c:v>
                </c:pt>
                <c:pt idx="14">
                  <c:v>0.63875759540065535</c:v>
                </c:pt>
                <c:pt idx="15">
                  <c:v>0.58679929967831246</c:v>
                </c:pt>
                <c:pt idx="16">
                  <c:v>0.53296419029848474</c:v>
                </c:pt>
                <c:pt idx="17">
                  <c:v>0.47833182889372183</c:v>
                </c:pt>
                <c:pt idx="18">
                  <c:v>0.42405205159117204</c:v>
                </c:pt>
                <c:pt idx="19">
                  <c:v>0.37125227937746486</c:v>
                </c:pt>
                <c:pt idx="20">
                  <c:v>0.32094664590741939</c:v>
                </c:pt>
                <c:pt idx="21">
                  <c:v>0.27396529893921856</c:v>
                </c:pt>
                <c:pt idx="22">
                  <c:v>0.23091047877528517</c:v>
                </c:pt>
                <c:pt idx="23">
                  <c:v>0.19214446255156997</c:v>
                </c:pt>
                <c:pt idx="24">
                  <c:v>0.15780380088085444</c:v>
                </c:pt>
                <c:pt idx="25">
                  <c:v>0.12783354637813735</c:v>
                </c:pt>
                <c:pt idx="26">
                  <c:v>0.10203371964111542</c:v>
                </c:pt>
                <c:pt idx="27">
                  <c:v>8.0103230809307716E-2</c:v>
                </c:pt>
                <c:pt idx="28">
                  <c:v>6.1685255078240943E-2</c:v>
                </c:pt>
                <c:pt idx="29">
                  <c:v>4.6402975761357518E-2</c:v>
                </c:pt>
                <c:pt idx="30">
                  <c:v>3.3885634318185934E-2</c:v>
                </c:pt>
                <c:pt idx="31">
                  <c:v>2.3788522236425195E-2</c:v>
                </c:pt>
                <c:pt idx="32">
                  <c:v>1.5808732211768557E-2</c:v>
                </c:pt>
                <c:pt idx="33">
                  <c:v>9.6900046647725082E-3</c:v>
                </c:pt>
                <c:pt idx="34">
                  <c:v>5.2287858869428687E-3</c:v>
                </c:pt>
                <c:pt idx="35">
                  <c:v>2.4141712153247044E-3</c:v>
                </c:pt>
                <c:pt idx="36">
                  <c:v>8.3784160371243744E-4</c:v>
                </c:pt>
                <c:pt idx="37">
                  <c:v>1.3206758467775129E-4</c:v>
                </c:pt>
                <c:pt idx="38">
                  <c:v>0</c:v>
                </c:pt>
                <c:pt idx="40">
                  <c:v>1</c:v>
                </c:pt>
                <c:pt idx="41">
                  <c:v>0.99417206346513831</c:v>
                </c:pt>
                <c:pt idx="42">
                  <c:v>0.98712038142087744</c:v>
                </c:pt>
                <c:pt idx="43">
                  <c:v>0.97858445358551371</c:v>
                </c:pt>
                <c:pt idx="44">
                  <c:v>0.96830983782342916</c:v>
                </c:pt>
                <c:pt idx="45">
                  <c:v>0.95597545239205883</c:v>
                </c:pt>
                <c:pt idx="46">
                  <c:v>0.94125415740275153</c:v>
                </c:pt>
                <c:pt idx="47">
                  <c:v>0.9237703477981668</c:v>
                </c:pt>
                <c:pt idx="48">
                  <c:v>0.9031544766670504</c:v>
                </c:pt>
                <c:pt idx="49">
                  <c:v>0.87904911339032021</c:v>
                </c:pt>
                <c:pt idx="50">
                  <c:v>0.85111681923097871</c:v>
                </c:pt>
                <c:pt idx="51">
                  <c:v>0.81911345090175502</c:v>
                </c:pt>
                <c:pt idx="52">
                  <c:v>0.78289967104266733</c:v>
                </c:pt>
                <c:pt idx="53">
                  <c:v>0.74250031805266947</c:v>
                </c:pt>
                <c:pt idx="54">
                  <c:v>0.69813954333694794</c:v>
                </c:pt>
                <c:pt idx="55">
                  <c:v>0.6502632264474425</c:v>
                </c:pt>
                <c:pt idx="56">
                  <c:v>0.59954685067275715</c:v>
                </c:pt>
                <c:pt idx="57">
                  <c:v>0.54686763556616391</c:v>
                </c:pt>
                <c:pt idx="58">
                  <c:v>0.49325061944543724</c:v>
                </c:pt>
                <c:pt idx="59">
                  <c:v>0.43979475001060175</c:v>
                </c:pt>
                <c:pt idx="60">
                  <c:v>0.38758322378185822</c:v>
                </c:pt>
                <c:pt idx="61">
                  <c:v>0.33760230694202953</c:v>
                </c:pt>
                <c:pt idx="62">
                  <c:v>0.29066881932790922</c:v>
                </c:pt>
                <c:pt idx="63">
                  <c:v>0.2473920044587955</c:v>
                </c:pt>
                <c:pt idx="64">
                  <c:v>0.20815583974991972</c:v>
                </c:pt>
                <c:pt idx="65">
                  <c:v>0.17313030466416665</c:v>
                </c:pt>
                <c:pt idx="66">
                  <c:v>0.14230161086104429</c:v>
                </c:pt>
                <c:pt idx="67">
                  <c:v>0.11550824816589626</c:v>
                </c:pt>
                <c:pt idx="68">
                  <c:v>9.248971629701877E-2</c:v>
                </c:pt>
                <c:pt idx="69">
                  <c:v>7.2921298624195011E-2</c:v>
                </c:pt>
                <c:pt idx="70">
                  <c:v>5.6451622674429172E-2</c:v>
                </c:pt>
                <c:pt idx="71">
                  <c:v>4.2729315974725422E-2</c:v>
                </c:pt>
                <c:pt idx="72">
                  <c:v>3.1422997934172185E-2</c:v>
                </c:pt>
                <c:pt idx="73">
                  <c:v>2.2237031023766122E-2</c:v>
                </c:pt>
                <c:pt idx="74">
                  <c:v>1.4922425439367035E-2</c:v>
                </c:pt>
                <c:pt idx="75">
                  <c:v>9.2810798039583836E-3</c:v>
                </c:pt>
                <c:pt idx="76">
                  <c:v>5.1603288361695534E-3</c:v>
                </c:pt>
                <c:pt idx="77">
                  <c:v>2.2560536024765813E-3</c:v>
                </c:pt>
                <c:pt idx="78">
                  <c:v>5.9672738948427818E-4</c:v>
                </c:pt>
              </c:numCache>
            </c:numRef>
          </c:xVal>
          <c:yVal>
            <c:numRef>
              <c:f>'0.5'!$I$2:$I$80</c:f>
              <c:numCache>
                <c:formatCode>General</c:formatCode>
                <c:ptCount val="79"/>
                <c:pt idx="0">
                  <c:v>1.1991078928896926</c:v>
                </c:pt>
                <c:pt idx="1">
                  <c:v>0.74420000009071641</c:v>
                </c:pt>
                <c:pt idx="2">
                  <c:v>9.6674973500649811E-2</c:v>
                </c:pt>
                <c:pt idx="3">
                  <c:v>0.50958703232995584</c:v>
                </c:pt>
                <c:pt idx="4">
                  <c:v>0.16042972278883344</c:v>
                </c:pt>
                <c:pt idx="5">
                  <c:v>0.101128223008843</c:v>
                </c:pt>
                <c:pt idx="6">
                  <c:v>0.14735182549894962</c:v>
                </c:pt>
                <c:pt idx="7">
                  <c:v>3.00453416185693E-2</c:v>
                </c:pt>
                <c:pt idx="8">
                  <c:v>6.8207998796376831E-2</c:v>
                </c:pt>
                <c:pt idx="9">
                  <c:v>3.3709407669614333E-2</c:v>
                </c:pt>
                <c:pt idx="10">
                  <c:v>-1.3585229512336212E-2</c:v>
                </c:pt>
                <c:pt idx="11">
                  <c:v>-1.4938115438875917E-2</c:v>
                </c:pt>
                <c:pt idx="12">
                  <c:v>-5.62575064452761E-2</c:v>
                </c:pt>
                <c:pt idx="13">
                  <c:v>-8.0671460394624195E-2</c:v>
                </c:pt>
                <c:pt idx="14">
                  <c:v>-0.10691181034480057</c:v>
                </c:pt>
                <c:pt idx="15">
                  <c:v>-0.13664147858051029</c:v>
                </c:pt>
                <c:pt idx="16">
                  <c:v>-0.15888517802270094</c:v>
                </c:pt>
                <c:pt idx="17">
                  <c:v>-0.18554830482492096</c:v>
                </c:pt>
                <c:pt idx="18">
                  <c:v>-0.21173792155285162</c:v>
                </c:pt>
                <c:pt idx="19">
                  <c:v>-0.23214395094482551</c:v>
                </c:pt>
                <c:pt idx="20">
                  <c:v>-0.24819819727309683</c:v>
                </c:pt>
                <c:pt idx="21">
                  <c:v>-0.27526718985327864</c:v>
                </c:pt>
                <c:pt idx="22">
                  <c:v>-0.26991765341875318</c:v>
                </c:pt>
                <c:pt idx="23">
                  <c:v>-0.27802933195329721</c:v>
                </c:pt>
                <c:pt idx="24">
                  <c:v>-0.26476541284851401</c:v>
                </c:pt>
                <c:pt idx="25">
                  <c:v>-0.26800670204751537</c:v>
                </c:pt>
                <c:pt idx="26">
                  <c:v>-0.25066721408903198</c:v>
                </c:pt>
                <c:pt idx="27">
                  <c:v>-0.19767918196622683</c:v>
                </c:pt>
                <c:pt idx="28">
                  <c:v>-0.19010865780229824</c:v>
                </c:pt>
                <c:pt idx="29">
                  <c:v>-5.7666762618754953E-2</c:v>
                </c:pt>
                <c:pt idx="30">
                  <c:v>-5.2762551135048526E-2</c:v>
                </c:pt>
                <c:pt idx="31">
                  <c:v>0.1253674291926794</c:v>
                </c:pt>
                <c:pt idx="32">
                  <c:v>0.30699236483063491</c:v>
                </c:pt>
                <c:pt idx="33">
                  <c:v>0.41268657784154938</c:v>
                </c:pt>
                <c:pt idx="34">
                  <c:v>0.66313958499221237</c:v>
                </c:pt>
                <c:pt idx="35">
                  <c:v>0.3769478412821255</c:v>
                </c:pt>
                <c:pt idx="36">
                  <c:v>0.35580899867994259</c:v>
                </c:pt>
                <c:pt idx="37">
                  <c:v>0.59617173162849701</c:v>
                </c:pt>
                <c:pt idx="38">
                  <c:v>0.42993587340493067</c:v>
                </c:pt>
                <c:pt idx="40">
                  <c:v>-8.6037907903231528E-2</c:v>
                </c:pt>
                <c:pt idx="41">
                  <c:v>1.0801666718480767</c:v>
                </c:pt>
                <c:pt idx="42">
                  <c:v>0.75637597342957386</c:v>
                </c:pt>
                <c:pt idx="43">
                  <c:v>4.5547159526836759E-2</c:v>
                </c:pt>
                <c:pt idx="44">
                  <c:v>0.4836567187379448</c:v>
                </c:pt>
                <c:pt idx="45">
                  <c:v>0.10913279807420292</c:v>
                </c:pt>
                <c:pt idx="46">
                  <c:v>0.156258324515336</c:v>
                </c:pt>
                <c:pt idx="47">
                  <c:v>0.13703607030908435</c:v>
                </c:pt>
                <c:pt idx="48">
                  <c:v>2.2942690504235842E-2</c:v>
                </c:pt>
                <c:pt idx="49">
                  <c:v>3.0327192853265069E-2</c:v>
                </c:pt>
                <c:pt idx="50">
                  <c:v>-3.5851477053302203E-2</c:v>
                </c:pt>
                <c:pt idx="51">
                  <c:v>-6.0992607188165064E-2</c:v>
                </c:pt>
                <c:pt idx="52">
                  <c:v>-9.6032352685543776E-2</c:v>
                </c:pt>
                <c:pt idx="53">
                  <c:v>-0.12642155281044143</c:v>
                </c:pt>
                <c:pt idx="54">
                  <c:v>-0.17073420392931102</c:v>
                </c:pt>
                <c:pt idx="55">
                  <c:v>-0.20994534770018633</c:v>
                </c:pt>
                <c:pt idx="56">
                  <c:v>-0.24987803063188382</c:v>
                </c:pt>
                <c:pt idx="57">
                  <c:v>-0.29191896079910534</c:v>
                </c:pt>
                <c:pt idx="58">
                  <c:v>-0.34342445542741057</c:v>
                </c:pt>
                <c:pt idx="59">
                  <c:v>-0.38783857299076996</c:v>
                </c:pt>
                <c:pt idx="60">
                  <c:v>-0.43374086507332354</c:v>
                </c:pt>
                <c:pt idx="61">
                  <c:v>-0.48406258451590656</c:v>
                </c:pt>
                <c:pt idx="62">
                  <c:v>-0.52897276025233064</c:v>
                </c:pt>
                <c:pt idx="63">
                  <c:v>-0.57046126199954839</c:v>
                </c:pt>
                <c:pt idx="64">
                  <c:v>-0.61303770951269188</c:v>
                </c:pt>
                <c:pt idx="65">
                  <c:v>-0.65465586282786969</c:v>
                </c:pt>
                <c:pt idx="66">
                  <c:v>-0.6761667490598513</c:v>
                </c:pt>
                <c:pt idx="67">
                  <c:v>-0.69934619460123149</c:v>
                </c:pt>
                <c:pt idx="68">
                  <c:v>-0.74445930322663689</c:v>
                </c:pt>
                <c:pt idx="69">
                  <c:v>-0.73221004856675853</c:v>
                </c:pt>
                <c:pt idx="70">
                  <c:v>-0.77727242396991814</c:v>
                </c:pt>
                <c:pt idx="71">
                  <c:v>-0.75266117415628386</c:v>
                </c:pt>
                <c:pt idx="72">
                  <c:v>-0.72068797009239483</c:v>
                </c:pt>
                <c:pt idx="73">
                  <c:v>-0.53555680509482406</c:v>
                </c:pt>
                <c:pt idx="74">
                  <c:v>-0.44073641271847297</c:v>
                </c:pt>
                <c:pt idx="75">
                  <c:v>-2.5592092110376101E-2</c:v>
                </c:pt>
                <c:pt idx="76">
                  <c:v>-7.1984805341300181E-2</c:v>
                </c:pt>
                <c:pt idx="77">
                  <c:v>0.49233773676657455</c:v>
                </c:pt>
                <c:pt idx="78">
                  <c:v>0.94279238005735744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F0-4388-B8C6-FCC797465F48}"/>
            </c:ext>
          </c:extLst>
        </c:ser>
        <c:ser>
          <c:idx val="1"/>
          <c:order val="1"/>
          <c:tx>
            <c:v>Exp.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NASA_Exp.data!$B$4:$B$28</c:f>
              <c:numCache>
                <c:formatCode>General</c:formatCode>
                <c:ptCount val="25"/>
                <c:pt idx="0">
                  <c:v>0</c:v>
                </c:pt>
                <c:pt idx="1">
                  <c:v>0.03</c:v>
                </c:pt>
                <c:pt idx="2">
                  <c:v>0.12</c:v>
                </c:pt>
                <c:pt idx="3">
                  <c:v>0.2</c:v>
                </c:pt>
                <c:pt idx="4">
                  <c:v>0.47</c:v>
                </c:pt>
                <c:pt idx="5">
                  <c:v>0.69</c:v>
                </c:pt>
                <c:pt idx="6">
                  <c:v>0.83</c:v>
                </c:pt>
                <c:pt idx="20">
                  <c:v>0.04</c:v>
                </c:pt>
                <c:pt idx="21">
                  <c:v>0.2</c:v>
                </c:pt>
                <c:pt idx="22">
                  <c:v>0.28000000000000003</c:v>
                </c:pt>
                <c:pt idx="23">
                  <c:v>0.46</c:v>
                </c:pt>
                <c:pt idx="24">
                  <c:v>0.85</c:v>
                </c:pt>
              </c:numCache>
            </c:numRef>
          </c:xVal>
          <c:yVal>
            <c:numRef>
              <c:f>NASA_Exp.data!$C$4:$C$28</c:f>
              <c:numCache>
                <c:formatCode>General</c:formatCode>
                <c:ptCount val="25"/>
                <c:pt idx="0">
                  <c:v>-0.91379999999999995</c:v>
                </c:pt>
                <c:pt idx="1">
                  <c:v>-0.86909999999999998</c:v>
                </c:pt>
                <c:pt idx="2">
                  <c:v>-0.71340000000000003</c:v>
                </c:pt>
                <c:pt idx="3">
                  <c:v>-0.53169999999999995</c:v>
                </c:pt>
                <c:pt idx="4">
                  <c:v>-0.35170000000000001</c:v>
                </c:pt>
                <c:pt idx="5">
                  <c:v>-0.20549999999999999</c:v>
                </c:pt>
                <c:pt idx="6">
                  <c:v>-8.7359999999999993E-2</c:v>
                </c:pt>
                <c:pt idx="20">
                  <c:v>5.6059999999999999E-2</c:v>
                </c:pt>
                <c:pt idx="21">
                  <c:v>0.27579999999999999</c:v>
                </c:pt>
                <c:pt idx="22">
                  <c:v>0.2195</c:v>
                </c:pt>
                <c:pt idx="23">
                  <c:v>9.8610000000000003E-2</c:v>
                </c:pt>
                <c:pt idx="24">
                  <c:v>3.6740000000000002E-2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F0-4388-B8C6-FCC797465F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5314479"/>
        <c:axId val="1605314959"/>
      </c:scatterChart>
      <c:valAx>
        <c:axId val="160531447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05314959"/>
        <c:crosses val="autoZero"/>
        <c:crossBetween val="midCat"/>
      </c:valAx>
      <c:valAx>
        <c:axId val="160531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05314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266459792845378"/>
          <c:y val="0.22611243362021607"/>
          <c:w val="0.11994712915657285"/>
          <c:h val="0.149502707510398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Section</a:t>
            </a:r>
            <a:r>
              <a:rPr lang="en-US" altLang="ko-KR" baseline="0"/>
              <a:t> (68%)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8491622443814796E-2"/>
          <c:y val="0.17171292982316605"/>
          <c:w val="0.88697462817147854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v>su2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'0.68'!$H$2:$H$80</c:f>
              <c:numCache>
                <c:formatCode>General</c:formatCode>
                <c:ptCount val="79"/>
                <c:pt idx="0">
                  <c:v>5.9672738948427818E-4</c:v>
                </c:pt>
                <c:pt idx="1">
                  <c:v>2.2560536024765813E-3</c:v>
                </c:pt>
                <c:pt idx="2">
                  <c:v>5.1603288361695534E-3</c:v>
                </c:pt>
                <c:pt idx="3">
                  <c:v>9.2810798039583836E-3</c:v>
                </c:pt>
                <c:pt idx="4">
                  <c:v>1.4922425439367035E-2</c:v>
                </c:pt>
                <c:pt idx="5">
                  <c:v>2.2237031023766122E-2</c:v>
                </c:pt>
                <c:pt idx="6">
                  <c:v>3.1422997934172185E-2</c:v>
                </c:pt>
                <c:pt idx="7">
                  <c:v>4.2729315974725422E-2</c:v>
                </c:pt>
                <c:pt idx="8">
                  <c:v>5.6451622674429172E-2</c:v>
                </c:pt>
                <c:pt idx="9">
                  <c:v>7.2921298624195011E-2</c:v>
                </c:pt>
                <c:pt idx="10">
                  <c:v>9.248971629701877E-2</c:v>
                </c:pt>
                <c:pt idx="11">
                  <c:v>0.11550824816589626</c:v>
                </c:pt>
                <c:pt idx="12">
                  <c:v>0.14230161086104429</c:v>
                </c:pt>
                <c:pt idx="13">
                  <c:v>0.17313030466416665</c:v>
                </c:pt>
                <c:pt idx="14">
                  <c:v>0.20815583974991972</c:v>
                </c:pt>
                <c:pt idx="15">
                  <c:v>0.2473920044587955</c:v>
                </c:pt>
                <c:pt idx="16">
                  <c:v>0.29066881932790922</c:v>
                </c:pt>
                <c:pt idx="17">
                  <c:v>0.33760230694202953</c:v>
                </c:pt>
                <c:pt idx="18">
                  <c:v>0.38758322378185822</c:v>
                </c:pt>
                <c:pt idx="19">
                  <c:v>0.43979475001060175</c:v>
                </c:pt>
                <c:pt idx="20">
                  <c:v>0.49325061944543724</c:v>
                </c:pt>
                <c:pt idx="21">
                  <c:v>0.54686763556616391</c:v>
                </c:pt>
                <c:pt idx="22">
                  <c:v>0.59954685067275715</c:v>
                </c:pt>
                <c:pt idx="23">
                  <c:v>0.6502632264474425</c:v>
                </c:pt>
                <c:pt idx="24">
                  <c:v>0.69813954333694794</c:v>
                </c:pt>
                <c:pt idx="25">
                  <c:v>0.74250031805266947</c:v>
                </c:pt>
                <c:pt idx="26">
                  <c:v>0.78289967104266733</c:v>
                </c:pt>
                <c:pt idx="27">
                  <c:v>0.81911345090175502</c:v>
                </c:pt>
                <c:pt idx="28">
                  <c:v>0.85111681923097871</c:v>
                </c:pt>
                <c:pt idx="29">
                  <c:v>0.87904911339032021</c:v>
                </c:pt>
                <c:pt idx="30">
                  <c:v>0.9031544766670504</c:v>
                </c:pt>
                <c:pt idx="31">
                  <c:v>0.9237703477981668</c:v>
                </c:pt>
                <c:pt idx="32">
                  <c:v>0.94125415740275153</c:v>
                </c:pt>
                <c:pt idx="33">
                  <c:v>0.95597545239205883</c:v>
                </c:pt>
                <c:pt idx="34">
                  <c:v>0.96830983782342916</c:v>
                </c:pt>
                <c:pt idx="35">
                  <c:v>0.97858445358551371</c:v>
                </c:pt>
                <c:pt idx="36">
                  <c:v>0.98712038142087744</c:v>
                </c:pt>
                <c:pt idx="37">
                  <c:v>0.99417206346513831</c:v>
                </c:pt>
                <c:pt idx="38">
                  <c:v>1</c:v>
                </c:pt>
                <c:pt idx="40">
                  <c:v>0</c:v>
                </c:pt>
                <c:pt idx="41">
                  <c:v>1.3206758467775129E-4</c:v>
                </c:pt>
                <c:pt idx="42">
                  <c:v>8.3784160371243744E-4</c:v>
                </c:pt>
                <c:pt idx="43">
                  <c:v>2.4141712153247044E-3</c:v>
                </c:pt>
                <c:pt idx="44">
                  <c:v>5.2287858869428687E-3</c:v>
                </c:pt>
                <c:pt idx="45">
                  <c:v>9.6900046647725082E-3</c:v>
                </c:pt>
                <c:pt idx="46">
                  <c:v>1.5808732211768557E-2</c:v>
                </c:pt>
                <c:pt idx="47">
                  <c:v>2.3788522236425195E-2</c:v>
                </c:pt>
                <c:pt idx="48">
                  <c:v>3.3885634318185934E-2</c:v>
                </c:pt>
                <c:pt idx="49">
                  <c:v>4.6402975761357518E-2</c:v>
                </c:pt>
                <c:pt idx="50">
                  <c:v>6.1685255078240943E-2</c:v>
                </c:pt>
                <c:pt idx="51">
                  <c:v>8.0103230809307716E-2</c:v>
                </c:pt>
                <c:pt idx="52">
                  <c:v>0.10203371964111542</c:v>
                </c:pt>
                <c:pt idx="53">
                  <c:v>0.12783354637813735</c:v>
                </c:pt>
                <c:pt idx="54">
                  <c:v>0.15780380088085444</c:v>
                </c:pt>
                <c:pt idx="55">
                  <c:v>0.19214446255156997</c:v>
                </c:pt>
                <c:pt idx="56">
                  <c:v>0.23091047877528517</c:v>
                </c:pt>
                <c:pt idx="57">
                  <c:v>0.27396529893921856</c:v>
                </c:pt>
                <c:pt idx="58">
                  <c:v>0.32094664590741939</c:v>
                </c:pt>
                <c:pt idx="59">
                  <c:v>0.37125227937746486</c:v>
                </c:pt>
                <c:pt idx="60">
                  <c:v>0.42405205159117204</c:v>
                </c:pt>
                <c:pt idx="61">
                  <c:v>0.47833182889372183</c:v>
                </c:pt>
                <c:pt idx="62">
                  <c:v>0.53296419029848474</c:v>
                </c:pt>
                <c:pt idx="63">
                  <c:v>0.58679929967831246</c:v>
                </c:pt>
                <c:pt idx="64">
                  <c:v>0.63875759540065535</c:v>
                </c:pt>
                <c:pt idx="65">
                  <c:v>0.6879109694851181</c:v>
                </c:pt>
                <c:pt idx="66">
                  <c:v>0.73354092580588481</c:v>
                </c:pt>
                <c:pt idx="67">
                  <c:v>0.77516341849067349</c:v>
                </c:pt>
                <c:pt idx="68">
                  <c:v>0.81252824610612651</c:v>
                </c:pt>
                <c:pt idx="69">
                  <c:v>0.84559360744424983</c:v>
                </c:pt>
                <c:pt idx="70">
                  <c:v>0.87448127124137465</c:v>
                </c:pt>
                <c:pt idx="71">
                  <c:v>0.8994468912623359</c:v>
                </c:pt>
                <c:pt idx="72">
                  <c:v>0.92081397250813313</c:v>
                </c:pt>
                <c:pt idx="73">
                  <c:v>0.93895206189002045</c:v>
                </c:pt>
                <c:pt idx="74">
                  <c:v>0.95423676446533834</c:v>
                </c:pt>
                <c:pt idx="75">
                  <c:v>0.96704368529142715</c:v>
                </c:pt>
                <c:pt idx="76">
                  <c:v>0.97773025498736865</c:v>
                </c:pt>
                <c:pt idx="77">
                  <c:v>0.9865993808574699</c:v>
                </c:pt>
                <c:pt idx="78">
                  <c:v>0.99394185391386525</c:v>
                </c:pt>
              </c:numCache>
            </c:numRef>
          </c:xVal>
          <c:yVal>
            <c:numRef>
              <c:f>'0.68'!$I$2:$I$80</c:f>
              <c:numCache>
                <c:formatCode>General</c:formatCode>
                <c:ptCount val="79"/>
                <c:pt idx="0">
                  <c:v>0.84410560088083708</c:v>
                </c:pt>
                <c:pt idx="1">
                  <c:v>0.77448429413485453</c:v>
                </c:pt>
                <c:pt idx="2">
                  <c:v>0.17352583272294139</c:v>
                </c:pt>
                <c:pt idx="3">
                  <c:v>0.10615491164955625</c:v>
                </c:pt>
                <c:pt idx="4">
                  <c:v>-0.16284353323333042</c:v>
                </c:pt>
                <c:pt idx="5">
                  <c:v>-0.50013063459670859</c:v>
                </c:pt>
                <c:pt idx="6">
                  <c:v>-0.63457359739633701</c:v>
                </c:pt>
                <c:pt idx="7">
                  <c:v>-0.67917694467274048</c:v>
                </c:pt>
                <c:pt idx="8">
                  <c:v>-0.75859797777736204</c:v>
                </c:pt>
                <c:pt idx="9">
                  <c:v>-0.75559511939549007</c:v>
                </c:pt>
                <c:pt idx="10">
                  <c:v>-0.75790528093751575</c:v>
                </c:pt>
                <c:pt idx="11">
                  <c:v>-0.75405501170080613</c:v>
                </c:pt>
                <c:pt idx="12">
                  <c:v>-0.69407168484324488</c:v>
                </c:pt>
                <c:pt idx="13">
                  <c:v>-0.68947949158010058</c:v>
                </c:pt>
                <c:pt idx="14">
                  <c:v>-0.63131757062629745</c:v>
                </c:pt>
                <c:pt idx="15">
                  <c:v>-0.59399984696492847</c:v>
                </c:pt>
                <c:pt idx="16">
                  <c:v>-0.54421006395871063</c:v>
                </c:pt>
                <c:pt idx="17">
                  <c:v>-0.49393855776945206</c:v>
                </c:pt>
                <c:pt idx="18">
                  <c:v>-0.43745739361487074</c:v>
                </c:pt>
                <c:pt idx="19">
                  <c:v>-0.38488627456642682</c:v>
                </c:pt>
                <c:pt idx="20">
                  <c:v>-0.33151697184973361</c:v>
                </c:pt>
                <c:pt idx="21">
                  <c:v>-0.28450500865812822</c:v>
                </c:pt>
                <c:pt idx="22">
                  <c:v>-0.23183191900889497</c:v>
                </c:pt>
                <c:pt idx="23">
                  <c:v>-0.1935226191605374</c:v>
                </c:pt>
                <c:pt idx="24">
                  <c:v>-0.1493904463843343</c:v>
                </c:pt>
                <c:pt idx="25">
                  <c:v>-0.11120773073006002</c:v>
                </c:pt>
                <c:pt idx="26">
                  <c:v>-6.6639545729790889E-2</c:v>
                </c:pt>
                <c:pt idx="27">
                  <c:v>-3.4670004268453944E-2</c:v>
                </c:pt>
                <c:pt idx="28">
                  <c:v>8.368621719971641E-3</c:v>
                </c:pt>
                <c:pt idx="29">
                  <c:v>4.4058331996321289E-2</c:v>
                </c:pt>
                <c:pt idx="30">
                  <c:v>7.0359714544803595E-2</c:v>
                </c:pt>
                <c:pt idx="31">
                  <c:v>0.12711162822561967</c:v>
                </c:pt>
                <c:pt idx="32">
                  <c:v>0.14353241118035395</c:v>
                </c:pt>
                <c:pt idx="33">
                  <c:v>0.21413826165809788</c:v>
                </c:pt>
                <c:pt idx="34">
                  <c:v>0.44522474041294507</c:v>
                </c:pt>
                <c:pt idx="35">
                  <c:v>0.25661429122837409</c:v>
                </c:pt>
                <c:pt idx="36">
                  <c:v>0.61256201253624354</c:v>
                </c:pt>
                <c:pt idx="37">
                  <c:v>1.0165414030436142</c:v>
                </c:pt>
                <c:pt idx="38">
                  <c:v>-0.1076844706613998</c:v>
                </c:pt>
                <c:pt idx="40">
                  <c:v>0.77054611920780902</c:v>
                </c:pt>
                <c:pt idx="41">
                  <c:v>0.77128452700663008</c:v>
                </c:pt>
                <c:pt idx="42">
                  <c:v>0.57064857938411662</c:v>
                </c:pt>
                <c:pt idx="43">
                  <c:v>0.6139333413054826</c:v>
                </c:pt>
                <c:pt idx="44">
                  <c:v>0.67184561009873167</c:v>
                </c:pt>
                <c:pt idx="45">
                  <c:v>0.33819077186003044</c:v>
                </c:pt>
                <c:pt idx="46">
                  <c:v>0.31224101207289151</c:v>
                </c:pt>
                <c:pt idx="47">
                  <c:v>9.3109707203718098E-2</c:v>
                </c:pt>
                <c:pt idx="48">
                  <c:v>-9.212516347195672E-3</c:v>
                </c:pt>
                <c:pt idx="49">
                  <c:v>-0.13121154962288331</c:v>
                </c:pt>
                <c:pt idx="50">
                  <c:v>-0.16068808570629561</c:v>
                </c:pt>
                <c:pt idx="51">
                  <c:v>-0.26061224202484784</c:v>
                </c:pt>
                <c:pt idx="52">
                  <c:v>-0.26562286637399052</c:v>
                </c:pt>
                <c:pt idx="53">
                  <c:v>-0.31983957994552142</c:v>
                </c:pt>
                <c:pt idx="54">
                  <c:v>-0.30731126095885786</c:v>
                </c:pt>
                <c:pt idx="55">
                  <c:v>-0.31777203810882243</c:v>
                </c:pt>
                <c:pt idx="56">
                  <c:v>-0.32295847383863679</c:v>
                </c:pt>
                <c:pt idx="57">
                  <c:v>-0.29182579454929658</c:v>
                </c:pt>
                <c:pt idx="58">
                  <c:v>-0.28638619043131514</c:v>
                </c:pt>
                <c:pt idx="59">
                  <c:v>-0.2598808666812536</c:v>
                </c:pt>
                <c:pt idx="60">
                  <c:v>-0.23212728212842368</c:v>
                </c:pt>
                <c:pt idx="61">
                  <c:v>-0.20543559831485006</c:v>
                </c:pt>
                <c:pt idx="62">
                  <c:v>-0.17686273272808953</c:v>
                </c:pt>
                <c:pt idx="63">
                  <c:v>-0.14723148262968586</c:v>
                </c:pt>
                <c:pt idx="64">
                  <c:v>-0.1178147224157018</c:v>
                </c:pt>
                <c:pt idx="65">
                  <c:v>-9.0725704881810101E-2</c:v>
                </c:pt>
                <c:pt idx="66">
                  <c:v>-6.4150056579479892E-2</c:v>
                </c:pt>
                <c:pt idx="67">
                  <c:v>-3.1505399416363829E-2</c:v>
                </c:pt>
                <c:pt idx="68">
                  <c:v>-1.0021248698285369E-2</c:v>
                </c:pt>
                <c:pt idx="69">
                  <c:v>2.2539019002108498E-2</c:v>
                </c:pt>
                <c:pt idx="70">
                  <c:v>6.1780119168025942E-2</c:v>
                </c:pt>
                <c:pt idx="71">
                  <c:v>6.8531276185818182E-2</c:v>
                </c:pt>
                <c:pt idx="72">
                  <c:v>0.14877159032436982</c:v>
                </c:pt>
                <c:pt idx="73">
                  <c:v>0.17275226264798602</c:v>
                </c:pt>
                <c:pt idx="74">
                  <c:v>0.13797677155112908</c:v>
                </c:pt>
                <c:pt idx="75">
                  <c:v>0.47750370990426422</c:v>
                </c:pt>
                <c:pt idx="76">
                  <c:v>0.21811159886127771</c:v>
                </c:pt>
                <c:pt idx="77">
                  <c:v>0.55929116419272662</c:v>
                </c:pt>
                <c:pt idx="78">
                  <c:v>1.1233292356635884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BE-4792-90CC-EFB2CB6991BE}"/>
            </c:ext>
          </c:extLst>
        </c:ser>
        <c:ser>
          <c:idx val="1"/>
          <c:order val="1"/>
          <c:tx>
            <c:v>Exp.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NASA_Exp.data!$D$4:$D$30</c:f>
              <c:numCache>
                <c:formatCode>General</c:formatCode>
                <c:ptCount val="27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0.15</c:v>
                </c:pt>
                <c:pt idx="4">
                  <c:v>0.19</c:v>
                </c:pt>
                <c:pt idx="5">
                  <c:v>0.23</c:v>
                </c:pt>
                <c:pt idx="6">
                  <c:v>0.28999999999999998</c:v>
                </c:pt>
                <c:pt idx="7">
                  <c:v>0.33</c:v>
                </c:pt>
                <c:pt idx="8">
                  <c:v>0.34</c:v>
                </c:pt>
                <c:pt idx="9">
                  <c:v>0.44</c:v>
                </c:pt>
                <c:pt idx="10">
                  <c:v>0.52</c:v>
                </c:pt>
                <c:pt idx="11">
                  <c:v>0.61</c:v>
                </c:pt>
                <c:pt idx="12">
                  <c:v>0.73</c:v>
                </c:pt>
                <c:pt idx="13">
                  <c:v>0.8</c:v>
                </c:pt>
                <c:pt idx="20">
                  <c:v>0</c:v>
                </c:pt>
                <c:pt idx="21">
                  <c:v>7.0000000000000007E-2</c:v>
                </c:pt>
                <c:pt idx="22">
                  <c:v>0.18</c:v>
                </c:pt>
                <c:pt idx="23">
                  <c:v>0.28000000000000003</c:v>
                </c:pt>
                <c:pt idx="24">
                  <c:v>0.38</c:v>
                </c:pt>
                <c:pt idx="25">
                  <c:v>0.51</c:v>
                </c:pt>
                <c:pt idx="26">
                  <c:v>0.79</c:v>
                </c:pt>
              </c:numCache>
            </c:numRef>
          </c:xVal>
          <c:yVal>
            <c:numRef>
              <c:f>NASA_Exp.data!$E$4:$E$30</c:f>
              <c:numCache>
                <c:formatCode>General</c:formatCode>
                <c:ptCount val="27"/>
                <c:pt idx="0">
                  <c:v>-0.94159999999999999</c:v>
                </c:pt>
                <c:pt idx="1">
                  <c:v>-0.93979999999999997</c:v>
                </c:pt>
                <c:pt idx="2">
                  <c:v>-0.91080000000000005</c:v>
                </c:pt>
                <c:pt idx="3">
                  <c:v>-0.87250000000000005</c:v>
                </c:pt>
                <c:pt idx="4">
                  <c:v>-0.72540000000000004</c:v>
                </c:pt>
                <c:pt idx="5">
                  <c:v>-0.64880000000000004</c:v>
                </c:pt>
                <c:pt idx="6">
                  <c:v>-0.58340000000000003</c:v>
                </c:pt>
                <c:pt idx="7">
                  <c:v>-0.53069999999999995</c:v>
                </c:pt>
                <c:pt idx="8">
                  <c:v>-0.41830000000000001</c:v>
                </c:pt>
                <c:pt idx="9">
                  <c:v>-0.39369999999999999</c:v>
                </c:pt>
                <c:pt idx="10">
                  <c:v>-0.32350000000000001</c:v>
                </c:pt>
                <c:pt idx="11">
                  <c:v>-0.2215</c:v>
                </c:pt>
                <c:pt idx="12">
                  <c:v>-0.1338</c:v>
                </c:pt>
                <c:pt idx="13">
                  <c:v>-6.5299999999999997E-2</c:v>
                </c:pt>
                <c:pt idx="20">
                  <c:v>0.92689999999999995</c:v>
                </c:pt>
                <c:pt idx="21">
                  <c:v>2.0590000000000001E-2</c:v>
                </c:pt>
                <c:pt idx="22">
                  <c:v>-0.25319999999999998</c:v>
                </c:pt>
                <c:pt idx="23">
                  <c:v>-0.28039999999999998</c:v>
                </c:pt>
                <c:pt idx="24">
                  <c:v>-0.23350000000000001</c:v>
                </c:pt>
                <c:pt idx="25">
                  <c:v>-0.1467</c:v>
                </c:pt>
                <c:pt idx="26">
                  <c:v>-2.036E-2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BE-4792-90CC-EFB2CB699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8572160"/>
        <c:axId val="1621854239"/>
      </c:scatterChart>
      <c:valAx>
        <c:axId val="86857216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21854239"/>
        <c:crosses val="autoZero"/>
        <c:crossBetween val="midCat"/>
      </c:valAx>
      <c:valAx>
        <c:axId val="162185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68572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022745417260224"/>
          <c:y val="0.19060102335692886"/>
          <c:w val="0.12581955380577428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Section</a:t>
            </a:r>
            <a:r>
              <a:rPr lang="en-US" altLang="ko-KR" baseline="0"/>
              <a:t> (80%)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0539370078740152E-2"/>
          <c:y val="0.17171296296296296"/>
          <c:w val="0.88059951881014875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v>su2</c:v>
          </c:tx>
          <c:spPr>
            <a:ln w="317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'0.8'!$H$2:$H$80</c:f>
              <c:numCache>
                <c:formatCode>General</c:formatCode>
                <c:ptCount val="79"/>
                <c:pt idx="0">
                  <c:v>5.9672738948427818E-4</c:v>
                </c:pt>
                <c:pt idx="1">
                  <c:v>2.2560536024765813E-3</c:v>
                </c:pt>
                <c:pt idx="2">
                  <c:v>5.1603288361695534E-3</c:v>
                </c:pt>
                <c:pt idx="3">
                  <c:v>9.2810798039583836E-3</c:v>
                </c:pt>
                <c:pt idx="4">
                  <c:v>1.4922425439367035E-2</c:v>
                </c:pt>
                <c:pt idx="5">
                  <c:v>2.2237031023766122E-2</c:v>
                </c:pt>
                <c:pt idx="6">
                  <c:v>3.1422997934172185E-2</c:v>
                </c:pt>
                <c:pt idx="7">
                  <c:v>4.2729315974725422E-2</c:v>
                </c:pt>
                <c:pt idx="8">
                  <c:v>5.6451622674429172E-2</c:v>
                </c:pt>
                <c:pt idx="9">
                  <c:v>7.2921298624195011E-2</c:v>
                </c:pt>
                <c:pt idx="10">
                  <c:v>9.248971629701877E-2</c:v>
                </c:pt>
                <c:pt idx="11">
                  <c:v>0.11550824816589626</c:v>
                </c:pt>
                <c:pt idx="12">
                  <c:v>0.14230161086104429</c:v>
                </c:pt>
                <c:pt idx="13">
                  <c:v>0.17313030466416665</c:v>
                </c:pt>
                <c:pt idx="14">
                  <c:v>0.20815583974991972</c:v>
                </c:pt>
                <c:pt idx="15">
                  <c:v>0.2473920044587955</c:v>
                </c:pt>
                <c:pt idx="16">
                  <c:v>0.29066881932790922</c:v>
                </c:pt>
                <c:pt idx="17">
                  <c:v>0.33760230694202953</c:v>
                </c:pt>
                <c:pt idx="18">
                  <c:v>0.38758322378185822</c:v>
                </c:pt>
                <c:pt idx="19">
                  <c:v>0.43979475001060175</c:v>
                </c:pt>
                <c:pt idx="20">
                  <c:v>0.49325061944543724</c:v>
                </c:pt>
                <c:pt idx="21">
                  <c:v>0.54686763556616391</c:v>
                </c:pt>
                <c:pt idx="22">
                  <c:v>0.59954685067275715</c:v>
                </c:pt>
                <c:pt idx="23">
                  <c:v>0.6502632264474425</c:v>
                </c:pt>
                <c:pt idx="24">
                  <c:v>0.69813954333694794</c:v>
                </c:pt>
                <c:pt idx="25">
                  <c:v>0.74250031805266947</c:v>
                </c:pt>
                <c:pt idx="26">
                  <c:v>0.78289967104266733</c:v>
                </c:pt>
                <c:pt idx="27">
                  <c:v>0.81911345090175502</c:v>
                </c:pt>
                <c:pt idx="28">
                  <c:v>0.85111681923097871</c:v>
                </c:pt>
                <c:pt idx="29">
                  <c:v>0.87904911339032021</c:v>
                </c:pt>
                <c:pt idx="30">
                  <c:v>0.9031544766670504</c:v>
                </c:pt>
                <c:pt idx="31">
                  <c:v>0.9237703477981668</c:v>
                </c:pt>
                <c:pt idx="32">
                  <c:v>0.94125415740275153</c:v>
                </c:pt>
                <c:pt idx="33">
                  <c:v>0.95597545239205883</c:v>
                </c:pt>
                <c:pt idx="34">
                  <c:v>0.96830983782342916</c:v>
                </c:pt>
                <c:pt idx="35">
                  <c:v>0.97858445358551371</c:v>
                </c:pt>
                <c:pt idx="36">
                  <c:v>0.98712038142087744</c:v>
                </c:pt>
                <c:pt idx="37">
                  <c:v>0.99417206346513831</c:v>
                </c:pt>
                <c:pt idx="38">
                  <c:v>1</c:v>
                </c:pt>
                <c:pt idx="40">
                  <c:v>0</c:v>
                </c:pt>
                <c:pt idx="41">
                  <c:v>1.3206758467775129E-4</c:v>
                </c:pt>
                <c:pt idx="42">
                  <c:v>8.3784160371243744E-4</c:v>
                </c:pt>
                <c:pt idx="43">
                  <c:v>2.4141712153247044E-3</c:v>
                </c:pt>
                <c:pt idx="44">
                  <c:v>5.2287858869428687E-3</c:v>
                </c:pt>
                <c:pt idx="45">
                  <c:v>9.6900046647725082E-3</c:v>
                </c:pt>
                <c:pt idx="46">
                  <c:v>1.5808732211768557E-2</c:v>
                </c:pt>
                <c:pt idx="47">
                  <c:v>2.3788522236425195E-2</c:v>
                </c:pt>
                <c:pt idx="48">
                  <c:v>3.3885634318185934E-2</c:v>
                </c:pt>
                <c:pt idx="49">
                  <c:v>4.6402975761357518E-2</c:v>
                </c:pt>
                <c:pt idx="50">
                  <c:v>6.1685255078240943E-2</c:v>
                </c:pt>
                <c:pt idx="51">
                  <c:v>8.0103230809307716E-2</c:v>
                </c:pt>
                <c:pt idx="52">
                  <c:v>0.10203371964111542</c:v>
                </c:pt>
                <c:pt idx="53">
                  <c:v>0.12783354637813735</c:v>
                </c:pt>
                <c:pt idx="54">
                  <c:v>0.15780380088085444</c:v>
                </c:pt>
                <c:pt idx="55">
                  <c:v>0.19214446255156997</c:v>
                </c:pt>
                <c:pt idx="56">
                  <c:v>0.23091047877528517</c:v>
                </c:pt>
                <c:pt idx="57">
                  <c:v>0.27396529893921856</c:v>
                </c:pt>
                <c:pt idx="58">
                  <c:v>0.32094664590741939</c:v>
                </c:pt>
                <c:pt idx="59">
                  <c:v>0.37125227937746486</c:v>
                </c:pt>
                <c:pt idx="60">
                  <c:v>0.42405205159117204</c:v>
                </c:pt>
                <c:pt idx="61">
                  <c:v>0.47833182889372183</c:v>
                </c:pt>
                <c:pt idx="62">
                  <c:v>0.53296419029848474</c:v>
                </c:pt>
                <c:pt idx="63">
                  <c:v>0.58679929967831246</c:v>
                </c:pt>
                <c:pt idx="64">
                  <c:v>0.63875759540065535</c:v>
                </c:pt>
                <c:pt idx="65">
                  <c:v>0.6879109694851181</c:v>
                </c:pt>
                <c:pt idx="66">
                  <c:v>0.73354092580588481</c:v>
                </c:pt>
                <c:pt idx="67">
                  <c:v>0.77516341849067349</c:v>
                </c:pt>
                <c:pt idx="68">
                  <c:v>0.81252824610612651</c:v>
                </c:pt>
                <c:pt idx="69">
                  <c:v>0.84559360744424983</c:v>
                </c:pt>
                <c:pt idx="70">
                  <c:v>0.87448127124137465</c:v>
                </c:pt>
                <c:pt idx="71">
                  <c:v>0.8994468912623359</c:v>
                </c:pt>
                <c:pt idx="72">
                  <c:v>0.92081397250813313</c:v>
                </c:pt>
                <c:pt idx="73">
                  <c:v>0.93895206189002045</c:v>
                </c:pt>
                <c:pt idx="74">
                  <c:v>0.95423676446533834</c:v>
                </c:pt>
                <c:pt idx="75">
                  <c:v>0.96704368529142715</c:v>
                </c:pt>
                <c:pt idx="76">
                  <c:v>0.97773025498736865</c:v>
                </c:pt>
                <c:pt idx="77">
                  <c:v>0.9865993808574699</c:v>
                </c:pt>
                <c:pt idx="78">
                  <c:v>0.99394185391386525</c:v>
                </c:pt>
              </c:numCache>
            </c:numRef>
          </c:xVal>
          <c:yVal>
            <c:numRef>
              <c:f>'0.8'!$I$2:$I$80</c:f>
              <c:numCache>
                <c:formatCode>General</c:formatCode>
                <c:ptCount val="79"/>
                <c:pt idx="0">
                  <c:v>0.77590100300650444</c:v>
                </c:pt>
                <c:pt idx="1">
                  <c:v>0.84435509462608382</c:v>
                </c:pt>
                <c:pt idx="2">
                  <c:v>0.3734363340434339</c:v>
                </c:pt>
                <c:pt idx="3">
                  <c:v>9.848522356371249E-2</c:v>
                </c:pt>
                <c:pt idx="4">
                  <c:v>-0.17418320421551026</c:v>
                </c:pt>
                <c:pt idx="5">
                  <c:v>-0.36882610667028809</c:v>
                </c:pt>
                <c:pt idx="6">
                  <c:v>-0.51171940478196831</c:v>
                </c:pt>
                <c:pt idx="7">
                  <c:v>-0.65246460610959522</c:v>
                </c:pt>
                <c:pt idx="8">
                  <c:v>-0.81658553386614408</c:v>
                </c:pt>
                <c:pt idx="9">
                  <c:v>-0.81452979996592634</c:v>
                </c:pt>
                <c:pt idx="10">
                  <c:v>-0.83273848277915297</c:v>
                </c:pt>
                <c:pt idx="11">
                  <c:v>-0.83263292519762699</c:v>
                </c:pt>
                <c:pt idx="12">
                  <c:v>-0.7942706611315582</c:v>
                </c:pt>
                <c:pt idx="13">
                  <c:v>-0.77862702754941215</c:v>
                </c:pt>
                <c:pt idx="14">
                  <c:v>-0.69672490004342646</c:v>
                </c:pt>
                <c:pt idx="15">
                  <c:v>-0.62781691082328561</c:v>
                </c:pt>
                <c:pt idx="16">
                  <c:v>-0.5514380837706454</c:v>
                </c:pt>
                <c:pt idx="17">
                  <c:v>-0.4899613482899316</c:v>
                </c:pt>
                <c:pt idx="18">
                  <c:v>-0.42650276921606761</c:v>
                </c:pt>
                <c:pt idx="19">
                  <c:v>-0.36839595952556975</c:v>
                </c:pt>
                <c:pt idx="20">
                  <c:v>-0.31189890295334266</c:v>
                </c:pt>
                <c:pt idx="21">
                  <c:v>-0.2602997181639195</c:v>
                </c:pt>
                <c:pt idx="22">
                  <c:v>-0.2129333923936868</c:v>
                </c:pt>
                <c:pt idx="23">
                  <c:v>-0.1684303160223459</c:v>
                </c:pt>
                <c:pt idx="24">
                  <c:v>-0.13274921452703609</c:v>
                </c:pt>
                <c:pt idx="25">
                  <c:v>-8.7567930694391061E-2</c:v>
                </c:pt>
                <c:pt idx="26">
                  <c:v>-4.8208147482901996E-2</c:v>
                </c:pt>
                <c:pt idx="27">
                  <c:v>-1.802395704555617E-2</c:v>
                </c:pt>
                <c:pt idx="28">
                  <c:v>1.6097531182707559E-2</c:v>
                </c:pt>
                <c:pt idx="29">
                  <c:v>6.8955490131827626E-2</c:v>
                </c:pt>
                <c:pt idx="30">
                  <c:v>7.4576431348084532E-2</c:v>
                </c:pt>
                <c:pt idx="31">
                  <c:v>0.16311285285297611</c:v>
                </c:pt>
                <c:pt idx="32">
                  <c:v>0.16250589675920191</c:v>
                </c:pt>
                <c:pt idx="33">
                  <c:v>0.17921038403568368</c:v>
                </c:pt>
                <c:pt idx="34">
                  <c:v>0.44255016054755048</c:v>
                </c:pt>
                <c:pt idx="35">
                  <c:v>0.25924942022773617</c:v>
                </c:pt>
                <c:pt idx="36">
                  <c:v>0.52169195729663242</c:v>
                </c:pt>
                <c:pt idx="37">
                  <c:v>1.0057526367792633</c:v>
                </c:pt>
                <c:pt idx="38">
                  <c:v>-3.3752036692922899E-2</c:v>
                </c:pt>
                <c:pt idx="39">
                  <c:v>0</c:v>
                </c:pt>
                <c:pt idx="40">
                  <c:v>0.92125379276773922</c:v>
                </c:pt>
                <c:pt idx="41">
                  <c:v>0.61049227275533891</c:v>
                </c:pt>
                <c:pt idx="42">
                  <c:v>0.69169244234417682</c:v>
                </c:pt>
                <c:pt idx="43">
                  <c:v>0.49261084358623286</c:v>
                </c:pt>
                <c:pt idx="44">
                  <c:v>0.60859223628787174</c:v>
                </c:pt>
                <c:pt idx="45">
                  <c:v>0.5034041062972614</c:v>
                </c:pt>
                <c:pt idx="46">
                  <c:v>0.31231849433990816</c:v>
                </c:pt>
                <c:pt idx="47">
                  <c:v>0.13659151049458088</c:v>
                </c:pt>
                <c:pt idx="48">
                  <c:v>3.9293809723035339E-2</c:v>
                </c:pt>
                <c:pt idx="49">
                  <c:v>-7.1860962563329592E-2</c:v>
                </c:pt>
                <c:pt idx="50">
                  <c:v>-0.15597716034182196</c:v>
                </c:pt>
                <c:pt idx="51">
                  <c:v>-0.23189417297528578</c:v>
                </c:pt>
                <c:pt idx="52">
                  <c:v>-0.23171472508669197</c:v>
                </c:pt>
                <c:pt idx="53">
                  <c:v>-0.26681789882314699</c:v>
                </c:pt>
                <c:pt idx="54">
                  <c:v>-0.30825716639069733</c:v>
                </c:pt>
                <c:pt idx="55">
                  <c:v>-0.30450987224652609</c:v>
                </c:pt>
                <c:pt idx="56">
                  <c:v>-0.31036304014213978</c:v>
                </c:pt>
                <c:pt idx="57">
                  <c:v>-0.3080275786508781</c:v>
                </c:pt>
                <c:pt idx="58">
                  <c:v>-0.28723537402980398</c:v>
                </c:pt>
                <c:pt idx="59">
                  <c:v>-0.26437951868989729</c:v>
                </c:pt>
                <c:pt idx="60">
                  <c:v>-0.23383643247536343</c:v>
                </c:pt>
                <c:pt idx="61">
                  <c:v>-0.20749453800556239</c:v>
                </c:pt>
                <c:pt idx="62">
                  <c:v>-0.17726548559606811</c:v>
                </c:pt>
                <c:pt idx="63">
                  <c:v>-0.14595446797593284</c:v>
                </c:pt>
                <c:pt idx="64">
                  <c:v>-0.11356412408469446</c:v>
                </c:pt>
                <c:pt idx="65">
                  <c:v>-8.468620871873267E-2</c:v>
                </c:pt>
                <c:pt idx="66">
                  <c:v>-5.7895694527445939E-2</c:v>
                </c:pt>
                <c:pt idx="67">
                  <c:v>-2.6072722636909951E-2</c:v>
                </c:pt>
                <c:pt idx="68">
                  <c:v>1.9264258628486097E-3</c:v>
                </c:pt>
                <c:pt idx="69">
                  <c:v>2.6600510544539706E-2</c:v>
                </c:pt>
                <c:pt idx="70">
                  <c:v>7.4998661674188338E-2</c:v>
                </c:pt>
                <c:pt idx="71">
                  <c:v>8.7454456294250582E-2</c:v>
                </c:pt>
                <c:pt idx="72">
                  <c:v>0.15912805415037146</c:v>
                </c:pt>
                <c:pt idx="73">
                  <c:v>0.19514957884610232</c:v>
                </c:pt>
                <c:pt idx="74">
                  <c:v>0.1830368463659994</c:v>
                </c:pt>
                <c:pt idx="75">
                  <c:v>0.46078523275615857</c:v>
                </c:pt>
                <c:pt idx="76">
                  <c:v>0.25114787584561943</c:v>
                </c:pt>
                <c:pt idx="77">
                  <c:v>0.60334074660695569</c:v>
                </c:pt>
                <c:pt idx="78">
                  <c:v>1.0321156427653695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C6-4CA8-8B1D-4B86CDFC6FF6}"/>
            </c:ext>
          </c:extLst>
        </c:ser>
        <c:ser>
          <c:idx val="1"/>
          <c:order val="1"/>
          <c:tx>
            <c:v>Exp.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NASA_Exp.data!$F$4:$F$32</c:f>
              <c:numCache>
                <c:formatCode>General</c:formatCode>
                <c:ptCount val="29"/>
                <c:pt idx="0">
                  <c:v>0</c:v>
                </c:pt>
                <c:pt idx="1">
                  <c:v>0.03</c:v>
                </c:pt>
                <c:pt idx="2">
                  <c:v>0.04</c:v>
                </c:pt>
                <c:pt idx="3">
                  <c:v>7.0000000000000007E-2</c:v>
                </c:pt>
                <c:pt idx="4">
                  <c:v>0.13</c:v>
                </c:pt>
                <c:pt idx="5">
                  <c:v>0.17</c:v>
                </c:pt>
                <c:pt idx="6">
                  <c:v>0.21</c:v>
                </c:pt>
                <c:pt idx="7">
                  <c:v>0.26</c:v>
                </c:pt>
                <c:pt idx="8">
                  <c:v>0.3</c:v>
                </c:pt>
                <c:pt idx="9">
                  <c:v>0.35</c:v>
                </c:pt>
                <c:pt idx="10">
                  <c:v>0.4</c:v>
                </c:pt>
                <c:pt idx="11">
                  <c:v>0.5</c:v>
                </c:pt>
                <c:pt idx="12">
                  <c:v>0.56000000000000005</c:v>
                </c:pt>
                <c:pt idx="13">
                  <c:v>0.65</c:v>
                </c:pt>
                <c:pt idx="14">
                  <c:v>0.74</c:v>
                </c:pt>
                <c:pt idx="15">
                  <c:v>0.9</c:v>
                </c:pt>
                <c:pt idx="20">
                  <c:v>0.01</c:v>
                </c:pt>
                <c:pt idx="21">
                  <c:v>0.02</c:v>
                </c:pt>
                <c:pt idx="22">
                  <c:v>0.14000000000000001</c:v>
                </c:pt>
                <c:pt idx="23">
                  <c:v>0.21</c:v>
                </c:pt>
                <c:pt idx="24">
                  <c:v>0.34</c:v>
                </c:pt>
                <c:pt idx="25">
                  <c:v>0.37</c:v>
                </c:pt>
                <c:pt idx="26">
                  <c:v>0.47</c:v>
                </c:pt>
                <c:pt idx="27">
                  <c:v>0.74</c:v>
                </c:pt>
                <c:pt idx="28">
                  <c:v>0.99</c:v>
                </c:pt>
              </c:numCache>
            </c:numRef>
          </c:xVal>
          <c:yVal>
            <c:numRef>
              <c:f>NASA_Exp.data!$G$4:$G$32</c:f>
              <c:numCache>
                <c:formatCode>General</c:formatCode>
                <c:ptCount val="29"/>
                <c:pt idx="0">
                  <c:v>0.18529999999999999</c:v>
                </c:pt>
                <c:pt idx="1">
                  <c:v>-0.48320000000000002</c:v>
                </c:pt>
                <c:pt idx="2">
                  <c:v>-1.153</c:v>
                </c:pt>
                <c:pt idx="3">
                  <c:v>-1.1950000000000001</c:v>
                </c:pt>
                <c:pt idx="4">
                  <c:v>-1.1559999999999999</c:v>
                </c:pt>
                <c:pt idx="5">
                  <c:v>-1.17</c:v>
                </c:pt>
                <c:pt idx="6">
                  <c:v>-1.0609999999999999</c:v>
                </c:pt>
                <c:pt idx="7">
                  <c:v>-0.78390000000000004</c:v>
                </c:pt>
                <c:pt idx="8">
                  <c:v>-0.73929999999999996</c:v>
                </c:pt>
                <c:pt idx="9">
                  <c:v>-0.49280000000000002</c:v>
                </c:pt>
                <c:pt idx="10">
                  <c:v>-0.32019999999999998</c:v>
                </c:pt>
                <c:pt idx="11">
                  <c:v>-0.25840000000000002</c:v>
                </c:pt>
                <c:pt idx="12">
                  <c:v>-0.17480000000000001</c:v>
                </c:pt>
                <c:pt idx="13">
                  <c:v>-0.12759999999999999</c:v>
                </c:pt>
                <c:pt idx="14">
                  <c:v>8.0210000000000004E-2</c:v>
                </c:pt>
                <c:pt idx="15">
                  <c:v>8.0210000000000004E-2</c:v>
                </c:pt>
                <c:pt idx="20">
                  <c:v>0.51749999999999996</c:v>
                </c:pt>
                <c:pt idx="21">
                  <c:v>0.36909999999999998</c:v>
                </c:pt>
                <c:pt idx="22">
                  <c:v>-0.16009999999999999</c:v>
                </c:pt>
                <c:pt idx="23">
                  <c:v>-0.25340000000000001</c:v>
                </c:pt>
                <c:pt idx="24">
                  <c:v>-0.33019999999999999</c:v>
                </c:pt>
                <c:pt idx="25">
                  <c:v>-0.28620000000000001</c:v>
                </c:pt>
                <c:pt idx="26">
                  <c:v>-0.15340000000000001</c:v>
                </c:pt>
                <c:pt idx="27">
                  <c:v>-6.5570000000000003E-2</c:v>
                </c:pt>
                <c:pt idx="28">
                  <c:v>6.4449999999999993E-2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C6-4CA8-8B1D-4B86CDFC6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133695"/>
        <c:axId val="1119953103"/>
      </c:scatterChart>
      <c:valAx>
        <c:axId val="1544133695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953103"/>
        <c:crosses val="autoZero"/>
        <c:crossBetween val="midCat"/>
      </c:valAx>
      <c:valAx>
        <c:axId val="111995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441336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7360017497813"/>
          <c:y val="0.16745297462817149"/>
          <c:w val="0.12581955380577428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Section (89%)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0539370078740152E-2"/>
          <c:y val="0.20467592592592593"/>
          <c:w val="0.86980358705161864"/>
          <c:h val="0.7443981481481482"/>
        </c:manualLayout>
      </c:layout>
      <c:scatterChart>
        <c:scatterStyle val="lineMarker"/>
        <c:varyColors val="0"/>
        <c:ser>
          <c:idx val="0"/>
          <c:order val="0"/>
          <c:tx>
            <c:v>su2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'0.89'!$H$2:$H$80</c:f>
              <c:numCache>
                <c:formatCode>General</c:formatCode>
                <c:ptCount val="79"/>
                <c:pt idx="0">
                  <c:v>0</c:v>
                </c:pt>
                <c:pt idx="1">
                  <c:v>1.3206758467775129E-4</c:v>
                </c:pt>
                <c:pt idx="2">
                  <c:v>8.3784160371243744E-4</c:v>
                </c:pt>
                <c:pt idx="3">
                  <c:v>2.4141712153247044E-3</c:v>
                </c:pt>
                <c:pt idx="4">
                  <c:v>5.2287858869428687E-3</c:v>
                </c:pt>
                <c:pt idx="5">
                  <c:v>9.6900046647725082E-3</c:v>
                </c:pt>
                <c:pt idx="6">
                  <c:v>1.5808732211768557E-2</c:v>
                </c:pt>
                <c:pt idx="7">
                  <c:v>2.3788522236425195E-2</c:v>
                </c:pt>
                <c:pt idx="8">
                  <c:v>3.3885634318185934E-2</c:v>
                </c:pt>
                <c:pt idx="9">
                  <c:v>4.6402975761357518E-2</c:v>
                </c:pt>
                <c:pt idx="10">
                  <c:v>6.1685255078240943E-2</c:v>
                </c:pt>
                <c:pt idx="11">
                  <c:v>8.0103230809307716E-2</c:v>
                </c:pt>
                <c:pt idx="12">
                  <c:v>0.10203371964111542</c:v>
                </c:pt>
                <c:pt idx="13">
                  <c:v>0.12783354637813735</c:v>
                </c:pt>
                <c:pt idx="14">
                  <c:v>0.15780380088085444</c:v>
                </c:pt>
                <c:pt idx="15">
                  <c:v>0.19214446255156997</c:v>
                </c:pt>
                <c:pt idx="16">
                  <c:v>0.23091047877528517</c:v>
                </c:pt>
                <c:pt idx="17">
                  <c:v>0.27396529893921856</c:v>
                </c:pt>
                <c:pt idx="18">
                  <c:v>0.32094664590741939</c:v>
                </c:pt>
                <c:pt idx="19">
                  <c:v>0.37125227937746486</c:v>
                </c:pt>
                <c:pt idx="20">
                  <c:v>0.42405205159117204</c:v>
                </c:pt>
                <c:pt idx="21">
                  <c:v>0.47833182889372183</c:v>
                </c:pt>
                <c:pt idx="22">
                  <c:v>0.53296419029848474</c:v>
                </c:pt>
                <c:pt idx="23">
                  <c:v>0.58679929967831246</c:v>
                </c:pt>
                <c:pt idx="24">
                  <c:v>0.63875759540065535</c:v>
                </c:pt>
                <c:pt idx="25">
                  <c:v>0.6879109694851181</c:v>
                </c:pt>
                <c:pt idx="26">
                  <c:v>0.73354092580588481</c:v>
                </c:pt>
                <c:pt idx="27">
                  <c:v>0.77516341849067349</c:v>
                </c:pt>
                <c:pt idx="28">
                  <c:v>0.81252824610612651</c:v>
                </c:pt>
                <c:pt idx="29">
                  <c:v>0.84559360744424983</c:v>
                </c:pt>
                <c:pt idx="30">
                  <c:v>0.87448127124137465</c:v>
                </c:pt>
                <c:pt idx="31">
                  <c:v>0.8994468912623359</c:v>
                </c:pt>
                <c:pt idx="32">
                  <c:v>0.92081397250813313</c:v>
                </c:pt>
                <c:pt idx="33">
                  <c:v>0.93895206189002045</c:v>
                </c:pt>
                <c:pt idx="34">
                  <c:v>0.95423676446533834</c:v>
                </c:pt>
                <c:pt idx="35">
                  <c:v>0.96704368529142715</c:v>
                </c:pt>
                <c:pt idx="36">
                  <c:v>0.97773025498736865</c:v>
                </c:pt>
                <c:pt idx="37">
                  <c:v>0.9865993808574699</c:v>
                </c:pt>
                <c:pt idx="38">
                  <c:v>0.99394185391386525</c:v>
                </c:pt>
                <c:pt idx="40">
                  <c:v>5.9672738948427818E-4</c:v>
                </c:pt>
                <c:pt idx="41">
                  <c:v>2.2560536024765813E-3</c:v>
                </c:pt>
                <c:pt idx="42">
                  <c:v>5.1603288361695534E-3</c:v>
                </c:pt>
                <c:pt idx="43">
                  <c:v>9.2810798039583836E-3</c:v>
                </c:pt>
                <c:pt idx="44">
                  <c:v>1.4922425439367035E-2</c:v>
                </c:pt>
                <c:pt idx="45">
                  <c:v>2.2237031023766122E-2</c:v>
                </c:pt>
                <c:pt idx="46">
                  <c:v>3.1422997934172185E-2</c:v>
                </c:pt>
                <c:pt idx="47">
                  <c:v>4.2729315974725422E-2</c:v>
                </c:pt>
                <c:pt idx="48">
                  <c:v>5.6451622674429172E-2</c:v>
                </c:pt>
                <c:pt idx="49">
                  <c:v>7.2921298624195011E-2</c:v>
                </c:pt>
                <c:pt idx="50">
                  <c:v>9.248971629701877E-2</c:v>
                </c:pt>
                <c:pt idx="51">
                  <c:v>0.11550824816589626</c:v>
                </c:pt>
                <c:pt idx="52">
                  <c:v>0.14230161086104429</c:v>
                </c:pt>
                <c:pt idx="53">
                  <c:v>0.17313030466416665</c:v>
                </c:pt>
                <c:pt idx="54">
                  <c:v>0.20815583974991972</c:v>
                </c:pt>
                <c:pt idx="55">
                  <c:v>0.2473920044587955</c:v>
                </c:pt>
                <c:pt idx="56">
                  <c:v>0.29066881932790922</c:v>
                </c:pt>
                <c:pt idx="57">
                  <c:v>0.33760230694202953</c:v>
                </c:pt>
                <c:pt idx="58">
                  <c:v>0.38758322378185822</c:v>
                </c:pt>
                <c:pt idx="59">
                  <c:v>0.43979475001060175</c:v>
                </c:pt>
                <c:pt idx="60">
                  <c:v>0.49325061944543724</c:v>
                </c:pt>
                <c:pt idx="61">
                  <c:v>0.54686763556616391</c:v>
                </c:pt>
                <c:pt idx="62">
                  <c:v>0.59954685067275715</c:v>
                </c:pt>
                <c:pt idx="63">
                  <c:v>0.6502632264474425</c:v>
                </c:pt>
                <c:pt idx="64">
                  <c:v>0.69813954333694794</c:v>
                </c:pt>
                <c:pt idx="65">
                  <c:v>0.74250031805266947</c:v>
                </c:pt>
                <c:pt idx="66">
                  <c:v>0.78289967104266733</c:v>
                </c:pt>
                <c:pt idx="67">
                  <c:v>0.81911345090175502</c:v>
                </c:pt>
                <c:pt idx="68">
                  <c:v>0.85111681923097871</c:v>
                </c:pt>
                <c:pt idx="69">
                  <c:v>0.87904911339032021</c:v>
                </c:pt>
                <c:pt idx="70">
                  <c:v>0.9031544766670504</c:v>
                </c:pt>
                <c:pt idx="71">
                  <c:v>0.9237703477981668</c:v>
                </c:pt>
                <c:pt idx="72">
                  <c:v>0.94125415740275153</c:v>
                </c:pt>
                <c:pt idx="73">
                  <c:v>0.95597545239205883</c:v>
                </c:pt>
                <c:pt idx="74">
                  <c:v>0.96830983782342916</c:v>
                </c:pt>
                <c:pt idx="75">
                  <c:v>0.97858445358551371</c:v>
                </c:pt>
                <c:pt idx="76">
                  <c:v>0.98712038142087744</c:v>
                </c:pt>
                <c:pt idx="77">
                  <c:v>0.99417206346513831</c:v>
                </c:pt>
                <c:pt idx="78">
                  <c:v>1</c:v>
                </c:pt>
              </c:numCache>
            </c:numRef>
          </c:xVal>
          <c:yVal>
            <c:numRef>
              <c:f>'0.89'!$I$2:$I$80</c:f>
              <c:numCache>
                <c:formatCode>General</c:formatCode>
                <c:ptCount val="79"/>
                <c:pt idx="0">
                  <c:v>0.6267887027824337</c:v>
                </c:pt>
                <c:pt idx="1">
                  <c:v>0.72774869583556767</c:v>
                </c:pt>
                <c:pt idx="2">
                  <c:v>0.54375268668573395</c:v>
                </c:pt>
                <c:pt idx="3">
                  <c:v>0.63685167264618114</c:v>
                </c:pt>
                <c:pt idx="4">
                  <c:v>0.68679218829383826</c:v>
                </c:pt>
                <c:pt idx="5">
                  <c:v>0.56108213369398185</c:v>
                </c:pt>
                <c:pt idx="6">
                  <c:v>0.39386508085963085</c:v>
                </c:pt>
                <c:pt idx="7">
                  <c:v>0.26751645705616678</c:v>
                </c:pt>
                <c:pt idx="8">
                  <c:v>1.8012055467276682E-2</c:v>
                </c:pt>
                <c:pt idx="9">
                  <c:v>2.5520748516593736E-2</c:v>
                </c:pt>
                <c:pt idx="10">
                  <c:v>-0.11887296019571292</c:v>
                </c:pt>
                <c:pt idx="11">
                  <c:v>-0.12462228499095258</c:v>
                </c:pt>
                <c:pt idx="12">
                  <c:v>-0.22511986586216381</c:v>
                </c:pt>
                <c:pt idx="13">
                  <c:v>-0.2518671076422383</c:v>
                </c:pt>
                <c:pt idx="14">
                  <c:v>-0.29326400773817984</c:v>
                </c:pt>
                <c:pt idx="15">
                  <c:v>-0.31247833487845544</c:v>
                </c:pt>
                <c:pt idx="16">
                  <c:v>-0.32123994474450623</c:v>
                </c:pt>
                <c:pt idx="17">
                  <c:v>-0.31287909210278875</c:v>
                </c:pt>
                <c:pt idx="18">
                  <c:v>-0.29583369829200762</c:v>
                </c:pt>
                <c:pt idx="19">
                  <c:v>-0.26856679329796268</c:v>
                </c:pt>
                <c:pt idx="20">
                  <c:v>-0.24165000038451656</c:v>
                </c:pt>
                <c:pt idx="21">
                  <c:v>-0.20825503299860956</c:v>
                </c:pt>
                <c:pt idx="22">
                  <c:v>-0.17885662804217811</c:v>
                </c:pt>
                <c:pt idx="23">
                  <c:v>-0.14850917713141901</c:v>
                </c:pt>
                <c:pt idx="24">
                  <c:v>-0.11737122158584957</c:v>
                </c:pt>
                <c:pt idx="25">
                  <c:v>-8.8340544412184863E-2</c:v>
                </c:pt>
                <c:pt idx="26">
                  <c:v>-6.0060736543452301E-2</c:v>
                </c:pt>
                <c:pt idx="27">
                  <c:v>-3.5037631613118098E-2</c:v>
                </c:pt>
                <c:pt idx="28">
                  <c:v>-2.5102375590092198E-3</c:v>
                </c:pt>
                <c:pt idx="29">
                  <c:v>2.2504059520240548E-2</c:v>
                </c:pt>
                <c:pt idx="30">
                  <c:v>7.3809792085955311E-2</c:v>
                </c:pt>
                <c:pt idx="31">
                  <c:v>8.7968412703875731E-2</c:v>
                </c:pt>
                <c:pt idx="32">
                  <c:v>0.13744651616961009</c:v>
                </c:pt>
                <c:pt idx="33">
                  <c:v>0.12879280247934147</c:v>
                </c:pt>
                <c:pt idx="34">
                  <c:v>0.15338872663208969</c:v>
                </c:pt>
                <c:pt idx="35">
                  <c:v>0.36140814961419582</c:v>
                </c:pt>
                <c:pt idx="36">
                  <c:v>0.17311831306079373</c:v>
                </c:pt>
                <c:pt idx="37">
                  <c:v>0.55654609038559677</c:v>
                </c:pt>
                <c:pt idx="38">
                  <c:v>0.89556027861810505</c:v>
                </c:pt>
                <c:pt idx="40">
                  <c:v>0.89498776829762927</c:v>
                </c:pt>
                <c:pt idx="41">
                  <c:v>0.69951953311056925</c:v>
                </c:pt>
                <c:pt idx="42">
                  <c:v>0.17140078209936638</c:v>
                </c:pt>
                <c:pt idx="43">
                  <c:v>0.20656612755320605</c:v>
                </c:pt>
                <c:pt idx="44">
                  <c:v>-3.5497841832269984E-2</c:v>
                </c:pt>
                <c:pt idx="45">
                  <c:v>-0.29979723127991692</c:v>
                </c:pt>
                <c:pt idx="46">
                  <c:v>-0.57410233955926393</c:v>
                </c:pt>
                <c:pt idx="47">
                  <c:v>-0.62996613506107435</c:v>
                </c:pt>
                <c:pt idx="48">
                  <c:v>-0.71523273944485866</c:v>
                </c:pt>
                <c:pt idx="49">
                  <c:v>-0.82140477837709336</c:v>
                </c:pt>
                <c:pt idx="50">
                  <c:v>-0.84952604492630968</c:v>
                </c:pt>
                <c:pt idx="51">
                  <c:v>-0.8251282974229569</c:v>
                </c:pt>
                <c:pt idx="52">
                  <c:v>-0.84582454550815667</c:v>
                </c:pt>
                <c:pt idx="53">
                  <c:v>-0.86572588503300341</c:v>
                </c:pt>
                <c:pt idx="54">
                  <c:v>-0.80357988974535677</c:v>
                </c:pt>
                <c:pt idx="55">
                  <c:v>-0.65547146983827076</c:v>
                </c:pt>
                <c:pt idx="56">
                  <c:v>-0.5154706768542302</c:v>
                </c:pt>
                <c:pt idx="57">
                  <c:v>-0.43683418237410959</c:v>
                </c:pt>
                <c:pt idx="58">
                  <c:v>-0.37449221239983854</c:v>
                </c:pt>
                <c:pt idx="59">
                  <c:v>-0.31560512201336166</c:v>
                </c:pt>
                <c:pt idx="60">
                  <c:v>-0.26913710165566757</c:v>
                </c:pt>
                <c:pt idx="61">
                  <c:v>-0.22894907912103826</c:v>
                </c:pt>
                <c:pt idx="62">
                  <c:v>-0.1827981414023768</c:v>
                </c:pt>
                <c:pt idx="63">
                  <c:v>-0.14869634396695919</c:v>
                </c:pt>
                <c:pt idx="64">
                  <c:v>-0.10655077652885701</c:v>
                </c:pt>
                <c:pt idx="65">
                  <c:v>-7.1442682107065031E-2</c:v>
                </c:pt>
                <c:pt idx="66">
                  <c:v>-3.7122890357312532E-2</c:v>
                </c:pt>
                <c:pt idx="67">
                  <c:v>-1.497334684321289E-3</c:v>
                </c:pt>
                <c:pt idx="68">
                  <c:v>2.2878393191320873E-2</c:v>
                </c:pt>
                <c:pt idx="69">
                  <c:v>8.0107405611188967E-2</c:v>
                </c:pt>
                <c:pt idx="70">
                  <c:v>9.9198422836285396E-2</c:v>
                </c:pt>
                <c:pt idx="71">
                  <c:v>0.16105155707538099</c:v>
                </c:pt>
                <c:pt idx="72">
                  <c:v>0.1895229357051961</c:v>
                </c:pt>
                <c:pt idx="73">
                  <c:v>0.16111761595851282</c:v>
                </c:pt>
                <c:pt idx="74">
                  <c:v>0.42506689332556125</c:v>
                </c:pt>
                <c:pt idx="75">
                  <c:v>0.3125465957243585</c:v>
                </c:pt>
                <c:pt idx="76">
                  <c:v>0.49352591587783901</c:v>
                </c:pt>
                <c:pt idx="77">
                  <c:v>0.93528368700804043</c:v>
                </c:pt>
                <c:pt idx="78">
                  <c:v>-2.3759178299745158E-2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E2-41CB-9782-0B555D7AD1DA}"/>
            </c:ext>
          </c:extLst>
        </c:ser>
        <c:ser>
          <c:idx val="1"/>
          <c:order val="1"/>
          <c:tx>
            <c:v>Exp.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NASA_Exp.data!$H$4:$H$31</c:f>
              <c:numCache>
                <c:formatCode>General</c:formatCode>
                <c:ptCount val="28"/>
                <c:pt idx="0">
                  <c:v>0.01</c:v>
                </c:pt>
                <c:pt idx="1">
                  <c:v>0.04</c:v>
                </c:pt>
                <c:pt idx="2">
                  <c:v>0.08</c:v>
                </c:pt>
                <c:pt idx="3">
                  <c:v>0.1</c:v>
                </c:pt>
                <c:pt idx="4">
                  <c:v>0.13</c:v>
                </c:pt>
                <c:pt idx="5">
                  <c:v>0.17</c:v>
                </c:pt>
                <c:pt idx="6">
                  <c:v>0.21</c:v>
                </c:pt>
                <c:pt idx="7">
                  <c:v>0.28999999999999998</c:v>
                </c:pt>
                <c:pt idx="8">
                  <c:v>0.3</c:v>
                </c:pt>
                <c:pt idx="9">
                  <c:v>0.34</c:v>
                </c:pt>
                <c:pt idx="10">
                  <c:v>0.4</c:v>
                </c:pt>
                <c:pt idx="11">
                  <c:v>0.44</c:v>
                </c:pt>
                <c:pt idx="12">
                  <c:v>0.47</c:v>
                </c:pt>
                <c:pt idx="13">
                  <c:v>0.5</c:v>
                </c:pt>
                <c:pt idx="14">
                  <c:v>0.53</c:v>
                </c:pt>
                <c:pt idx="15">
                  <c:v>0.65</c:v>
                </c:pt>
                <c:pt idx="16">
                  <c:v>0.8</c:v>
                </c:pt>
                <c:pt idx="17">
                  <c:v>0.87</c:v>
                </c:pt>
                <c:pt idx="20">
                  <c:v>0.01</c:v>
                </c:pt>
                <c:pt idx="21">
                  <c:v>0.04</c:v>
                </c:pt>
                <c:pt idx="22">
                  <c:v>0.14000000000000001</c:v>
                </c:pt>
                <c:pt idx="23">
                  <c:v>0.28000000000000003</c:v>
                </c:pt>
                <c:pt idx="24">
                  <c:v>0.33</c:v>
                </c:pt>
                <c:pt idx="25">
                  <c:v>0.51</c:v>
                </c:pt>
                <c:pt idx="26">
                  <c:v>0.69</c:v>
                </c:pt>
                <c:pt idx="27">
                  <c:v>0.9</c:v>
                </c:pt>
              </c:numCache>
            </c:numRef>
          </c:xVal>
          <c:yVal>
            <c:numRef>
              <c:f>NASA_Exp.data!$I$4:$I$31</c:f>
              <c:numCache>
                <c:formatCode>General</c:formatCode>
                <c:ptCount val="28"/>
                <c:pt idx="0">
                  <c:v>-0.44450000000000001</c:v>
                </c:pt>
                <c:pt idx="1">
                  <c:v>-0.85350000000000004</c:v>
                </c:pt>
                <c:pt idx="2">
                  <c:v>-0.91710000000000003</c:v>
                </c:pt>
                <c:pt idx="3">
                  <c:v>-0.92349999999999999</c:v>
                </c:pt>
                <c:pt idx="4">
                  <c:v>-1.046</c:v>
                </c:pt>
                <c:pt idx="5">
                  <c:v>-1.1160000000000001</c:v>
                </c:pt>
                <c:pt idx="6">
                  <c:v>-1.208</c:v>
                </c:pt>
                <c:pt idx="7">
                  <c:v>-0.94720000000000004</c:v>
                </c:pt>
                <c:pt idx="8">
                  <c:v>-1.127</c:v>
                </c:pt>
                <c:pt idx="9">
                  <c:v>-1.0349999999999999</c:v>
                </c:pt>
                <c:pt idx="10">
                  <c:v>-0.57709999999999995</c:v>
                </c:pt>
                <c:pt idx="11">
                  <c:v>-0.37540000000000001</c:v>
                </c:pt>
                <c:pt idx="12">
                  <c:v>-0.21110000000000001</c:v>
                </c:pt>
                <c:pt idx="13">
                  <c:v>-0.13750000000000001</c:v>
                </c:pt>
                <c:pt idx="14">
                  <c:v>-9.98E-2</c:v>
                </c:pt>
                <c:pt idx="15">
                  <c:v>5.006E-2</c:v>
                </c:pt>
                <c:pt idx="16">
                  <c:v>6.7939999999999997E-3</c:v>
                </c:pt>
                <c:pt idx="17">
                  <c:v>7.1940000000000004E-2</c:v>
                </c:pt>
                <c:pt idx="20">
                  <c:v>0.70269999999999999</c:v>
                </c:pt>
                <c:pt idx="21">
                  <c:v>0.27450000000000002</c:v>
                </c:pt>
                <c:pt idx="22">
                  <c:v>-0.18859999999999999</c:v>
                </c:pt>
                <c:pt idx="23">
                  <c:v>-0.30349999999999999</c:v>
                </c:pt>
                <c:pt idx="24">
                  <c:v>-0.25140000000000001</c:v>
                </c:pt>
                <c:pt idx="25">
                  <c:v>-0.17580000000000001</c:v>
                </c:pt>
                <c:pt idx="26">
                  <c:v>0.21929999999999999</c:v>
                </c:pt>
                <c:pt idx="27">
                  <c:v>7.3120000000000004E-2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E2-41CB-9782-0B555D7AD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186463"/>
        <c:axId val="1357186943"/>
      </c:scatterChart>
      <c:valAx>
        <c:axId val="1357186463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7186943"/>
        <c:crosses val="autoZero"/>
        <c:crossBetween val="midCat"/>
      </c:valAx>
      <c:valAx>
        <c:axId val="1357186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7186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595211747180251"/>
          <c:y val="0.21171206639710571"/>
          <c:w val="0.12581955380577428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Section (96%)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0539370078740152E-2"/>
          <c:y val="0.20467592592592593"/>
          <c:w val="0.86980358705161864"/>
          <c:h val="0.7443981481481482"/>
        </c:manualLayout>
      </c:layout>
      <c:scatterChart>
        <c:scatterStyle val="lineMarker"/>
        <c:varyColors val="0"/>
        <c:ser>
          <c:idx val="0"/>
          <c:order val="0"/>
          <c:tx>
            <c:v>su2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'0.96'!$H$2:$H$79</c:f>
              <c:numCache>
                <c:formatCode>General</c:formatCode>
                <c:ptCount val="78"/>
                <c:pt idx="0">
                  <c:v>0</c:v>
                </c:pt>
                <c:pt idx="1">
                  <c:v>1.3206758467775129E-4</c:v>
                </c:pt>
                <c:pt idx="2">
                  <c:v>8.3784160371243744E-4</c:v>
                </c:pt>
                <c:pt idx="3">
                  <c:v>2.4141712153247044E-3</c:v>
                </c:pt>
                <c:pt idx="4">
                  <c:v>5.2287858869428687E-3</c:v>
                </c:pt>
                <c:pt idx="5">
                  <c:v>9.6900046647725082E-3</c:v>
                </c:pt>
                <c:pt idx="6">
                  <c:v>1.5808732211768557E-2</c:v>
                </c:pt>
                <c:pt idx="7">
                  <c:v>2.3788522236425195E-2</c:v>
                </c:pt>
                <c:pt idx="8">
                  <c:v>3.3885634318185934E-2</c:v>
                </c:pt>
                <c:pt idx="9">
                  <c:v>4.6402975761357518E-2</c:v>
                </c:pt>
                <c:pt idx="10">
                  <c:v>6.1685255078240943E-2</c:v>
                </c:pt>
                <c:pt idx="11">
                  <c:v>8.0103230809307716E-2</c:v>
                </c:pt>
                <c:pt idx="12">
                  <c:v>0.10203371964111542</c:v>
                </c:pt>
                <c:pt idx="13">
                  <c:v>0.12783354637813735</c:v>
                </c:pt>
                <c:pt idx="14">
                  <c:v>0.15780380088085444</c:v>
                </c:pt>
                <c:pt idx="15">
                  <c:v>0.19214446255156997</c:v>
                </c:pt>
                <c:pt idx="16">
                  <c:v>0.23091047877528517</c:v>
                </c:pt>
                <c:pt idx="17">
                  <c:v>0.27396529893921856</c:v>
                </c:pt>
                <c:pt idx="18">
                  <c:v>0.32094664590741939</c:v>
                </c:pt>
                <c:pt idx="19">
                  <c:v>0.37125227937746486</c:v>
                </c:pt>
                <c:pt idx="20">
                  <c:v>0.42405205159117204</c:v>
                </c:pt>
                <c:pt idx="21">
                  <c:v>0.47833182889372183</c:v>
                </c:pt>
                <c:pt idx="22">
                  <c:v>0.53296419029848474</c:v>
                </c:pt>
                <c:pt idx="23">
                  <c:v>0.58679929967831246</c:v>
                </c:pt>
                <c:pt idx="24">
                  <c:v>0.63875759540065535</c:v>
                </c:pt>
                <c:pt idx="25">
                  <c:v>0.6879109694851181</c:v>
                </c:pt>
                <c:pt idx="26">
                  <c:v>0.73354092580588481</c:v>
                </c:pt>
                <c:pt idx="27">
                  <c:v>0.77516341849067349</c:v>
                </c:pt>
                <c:pt idx="28">
                  <c:v>0.81252824610612651</c:v>
                </c:pt>
                <c:pt idx="29">
                  <c:v>0.84559360744424983</c:v>
                </c:pt>
                <c:pt idx="30">
                  <c:v>0.87448127124137465</c:v>
                </c:pt>
                <c:pt idx="31">
                  <c:v>0.8994468912623359</c:v>
                </c:pt>
                <c:pt idx="32">
                  <c:v>0.92081397250813313</c:v>
                </c:pt>
                <c:pt idx="33">
                  <c:v>0.93895206189002045</c:v>
                </c:pt>
                <c:pt idx="34">
                  <c:v>0.95423676446533834</c:v>
                </c:pt>
                <c:pt idx="35">
                  <c:v>0.96704368529142715</c:v>
                </c:pt>
                <c:pt idx="36">
                  <c:v>0.97773025498736865</c:v>
                </c:pt>
                <c:pt idx="37">
                  <c:v>0.9865993808574699</c:v>
                </c:pt>
                <c:pt idx="38">
                  <c:v>0.99394185391386525</c:v>
                </c:pt>
                <c:pt idx="40">
                  <c:v>2.2560536024765813E-3</c:v>
                </c:pt>
                <c:pt idx="41">
                  <c:v>5.1603288361695534E-3</c:v>
                </c:pt>
                <c:pt idx="42">
                  <c:v>9.2810798039583836E-3</c:v>
                </c:pt>
                <c:pt idx="43">
                  <c:v>1.4922425439367035E-2</c:v>
                </c:pt>
                <c:pt idx="44">
                  <c:v>2.2237031023766122E-2</c:v>
                </c:pt>
                <c:pt idx="45">
                  <c:v>3.1422997934172185E-2</c:v>
                </c:pt>
                <c:pt idx="46">
                  <c:v>4.2729315974725422E-2</c:v>
                </c:pt>
                <c:pt idx="47">
                  <c:v>5.6451622674429172E-2</c:v>
                </c:pt>
                <c:pt idx="48">
                  <c:v>7.2921298624195011E-2</c:v>
                </c:pt>
                <c:pt idx="49">
                  <c:v>9.248971629701877E-2</c:v>
                </c:pt>
                <c:pt idx="50">
                  <c:v>0.11550824816589626</c:v>
                </c:pt>
                <c:pt idx="51">
                  <c:v>0.14230161086104429</c:v>
                </c:pt>
                <c:pt idx="52">
                  <c:v>0.17313030466416665</c:v>
                </c:pt>
                <c:pt idx="53">
                  <c:v>0.20815583974991972</c:v>
                </c:pt>
                <c:pt idx="54">
                  <c:v>0.2473920044587955</c:v>
                </c:pt>
                <c:pt idx="55">
                  <c:v>0.29066881932790922</c:v>
                </c:pt>
                <c:pt idx="56">
                  <c:v>0.33760230694202953</c:v>
                </c:pt>
                <c:pt idx="57">
                  <c:v>0.38758322378185822</c:v>
                </c:pt>
                <c:pt idx="58">
                  <c:v>0.43979475001060175</c:v>
                </c:pt>
                <c:pt idx="59">
                  <c:v>0.49325061944543724</c:v>
                </c:pt>
                <c:pt idx="60">
                  <c:v>0.54686763556616391</c:v>
                </c:pt>
                <c:pt idx="61">
                  <c:v>0.59954685067275715</c:v>
                </c:pt>
                <c:pt idx="62">
                  <c:v>0.6502632264474425</c:v>
                </c:pt>
                <c:pt idx="63">
                  <c:v>0.69813954333694794</c:v>
                </c:pt>
                <c:pt idx="64">
                  <c:v>0.74250031805266947</c:v>
                </c:pt>
                <c:pt idx="65">
                  <c:v>0.78289967104266733</c:v>
                </c:pt>
                <c:pt idx="66">
                  <c:v>0.81911345090175502</c:v>
                </c:pt>
                <c:pt idx="67">
                  <c:v>0.85111681923097871</c:v>
                </c:pt>
                <c:pt idx="68">
                  <c:v>0.87904911339032021</c:v>
                </c:pt>
                <c:pt idx="69">
                  <c:v>0.9031544766670504</c:v>
                </c:pt>
                <c:pt idx="70">
                  <c:v>0.9237703477981668</c:v>
                </c:pt>
                <c:pt idx="71">
                  <c:v>0.94125415740275153</c:v>
                </c:pt>
                <c:pt idx="72">
                  <c:v>0.95597545239205883</c:v>
                </c:pt>
                <c:pt idx="73">
                  <c:v>0.96830983782342916</c:v>
                </c:pt>
                <c:pt idx="74">
                  <c:v>0.97858445358551371</c:v>
                </c:pt>
                <c:pt idx="75">
                  <c:v>0.98712038142087744</c:v>
                </c:pt>
                <c:pt idx="76">
                  <c:v>0.99417206346513831</c:v>
                </c:pt>
                <c:pt idx="77">
                  <c:v>1</c:v>
                </c:pt>
              </c:numCache>
            </c:numRef>
          </c:xVal>
          <c:yVal>
            <c:numRef>
              <c:f>'0.96'!$I$2:$I$79</c:f>
              <c:numCache>
                <c:formatCode>General</c:formatCode>
                <c:ptCount val="78"/>
                <c:pt idx="0">
                  <c:v>0.72348801070140956</c:v>
                </c:pt>
                <c:pt idx="1">
                  <c:v>0.82208015493525244</c:v>
                </c:pt>
                <c:pt idx="2">
                  <c:v>0.69299904455682537</c:v>
                </c:pt>
                <c:pt idx="3">
                  <c:v>0.49451567812558733</c:v>
                </c:pt>
                <c:pt idx="4">
                  <c:v>0.54641974766933732</c:v>
                </c:pt>
                <c:pt idx="5">
                  <c:v>0.58330568863444443</c:v>
                </c:pt>
                <c:pt idx="6">
                  <c:v>0.39129802902152033</c:v>
                </c:pt>
                <c:pt idx="7">
                  <c:v>0.30146481954193183</c:v>
                </c:pt>
                <c:pt idx="8">
                  <c:v>0.10054076117917132</c:v>
                </c:pt>
                <c:pt idx="9">
                  <c:v>6.9284158056124321E-3</c:v>
                </c:pt>
                <c:pt idx="10">
                  <c:v>-0.13229928078813627</c:v>
                </c:pt>
                <c:pt idx="11">
                  <c:v>-0.15547601263787672</c:v>
                </c:pt>
                <c:pt idx="12">
                  <c:v>-0.22366185932481583</c:v>
                </c:pt>
                <c:pt idx="13">
                  <c:v>-0.27936277946203936</c:v>
                </c:pt>
                <c:pt idx="14">
                  <c:v>-0.29236930549712065</c:v>
                </c:pt>
                <c:pt idx="15">
                  <c:v>-0.30320676499305882</c:v>
                </c:pt>
                <c:pt idx="16">
                  <c:v>-0.31089100797746522</c:v>
                </c:pt>
                <c:pt idx="17">
                  <c:v>-0.30797989235914125</c:v>
                </c:pt>
                <c:pt idx="18">
                  <c:v>-0.2798154884493379</c:v>
                </c:pt>
                <c:pt idx="19">
                  <c:v>-0.24928912460580271</c:v>
                </c:pt>
                <c:pt idx="20">
                  <c:v>-0.222156109867062</c:v>
                </c:pt>
                <c:pt idx="21">
                  <c:v>-0.19669811838132598</c:v>
                </c:pt>
                <c:pt idx="22">
                  <c:v>-0.16861047816936875</c:v>
                </c:pt>
                <c:pt idx="23">
                  <c:v>-0.14050315495796376</c:v>
                </c:pt>
                <c:pt idx="24">
                  <c:v>-0.11310638802662284</c:v>
                </c:pt>
                <c:pt idx="25">
                  <c:v>-9.1441310534470618E-2</c:v>
                </c:pt>
                <c:pt idx="26">
                  <c:v>-6.7544180904942228E-2</c:v>
                </c:pt>
                <c:pt idx="27">
                  <c:v>-3.7464621148871204E-2</c:v>
                </c:pt>
                <c:pt idx="28">
                  <c:v>-1.6120376547717561E-2</c:v>
                </c:pt>
                <c:pt idx="29">
                  <c:v>2.5312337289822694E-2</c:v>
                </c:pt>
                <c:pt idx="30">
                  <c:v>7.0583236019676657E-2</c:v>
                </c:pt>
                <c:pt idx="31">
                  <c:v>9.3513930376320067E-2</c:v>
                </c:pt>
                <c:pt idx="32">
                  <c:v>0.15171655974335405</c:v>
                </c:pt>
                <c:pt idx="33">
                  <c:v>0.18427224082995339</c:v>
                </c:pt>
                <c:pt idx="34">
                  <c:v>0.17513932908619154</c:v>
                </c:pt>
                <c:pt idx="35">
                  <c:v>0.39529367790941611</c:v>
                </c:pt>
                <c:pt idx="36">
                  <c:v>0.34126384442530783</c:v>
                </c:pt>
                <c:pt idx="37">
                  <c:v>0.53642078394987391</c:v>
                </c:pt>
                <c:pt idx="38">
                  <c:v>1.001530060900504</c:v>
                </c:pt>
                <c:pt idx="40">
                  <c:v>0.85274626807486653</c:v>
                </c:pt>
                <c:pt idx="41">
                  <c:v>0.84585721826814964</c:v>
                </c:pt>
                <c:pt idx="42">
                  <c:v>0.49036256524210947</c:v>
                </c:pt>
                <c:pt idx="43">
                  <c:v>3.5488448004315956E-2</c:v>
                </c:pt>
                <c:pt idx="44">
                  <c:v>-1.5313373570359296E-2</c:v>
                </c:pt>
                <c:pt idx="45">
                  <c:v>-0.36107675166942577</c:v>
                </c:pt>
                <c:pt idx="46">
                  <c:v>-0.53299594204596323</c:v>
                </c:pt>
                <c:pt idx="47">
                  <c:v>-0.60797832844221478</c:v>
                </c:pt>
                <c:pt idx="48">
                  <c:v>-0.65890415291341098</c:v>
                </c:pt>
                <c:pt idx="49">
                  <c:v>-0.71649070439772999</c:v>
                </c:pt>
                <c:pt idx="50">
                  <c:v>-0.79179589198492495</c:v>
                </c:pt>
                <c:pt idx="51">
                  <c:v>-0.8132464247830965</c:v>
                </c:pt>
                <c:pt idx="52">
                  <c:v>-0.82005674259202233</c:v>
                </c:pt>
                <c:pt idx="53">
                  <c:v>-0.81114231214213084</c:v>
                </c:pt>
                <c:pt idx="54">
                  <c:v>-0.74435592671592743</c:v>
                </c:pt>
                <c:pt idx="55">
                  <c:v>-0.56427813306829233</c:v>
                </c:pt>
                <c:pt idx="56">
                  <c:v>-0.40805416645140069</c:v>
                </c:pt>
                <c:pt idx="57">
                  <c:v>-0.35582139081687314</c:v>
                </c:pt>
                <c:pt idx="58">
                  <c:v>-0.31266838282759829</c:v>
                </c:pt>
                <c:pt idx="59">
                  <c:v>-0.27308587093814768</c:v>
                </c:pt>
                <c:pt idx="60">
                  <c:v>-0.23001356324660877</c:v>
                </c:pt>
                <c:pt idx="61">
                  <c:v>-0.19625131429386181</c:v>
                </c:pt>
                <c:pt idx="62">
                  <c:v>-0.16344762741422056</c:v>
                </c:pt>
                <c:pt idx="63">
                  <c:v>-0.1324823326830005</c:v>
                </c:pt>
                <c:pt idx="64">
                  <c:v>-0.10358178459385065</c:v>
                </c:pt>
                <c:pt idx="65">
                  <c:v>-7.2478708866496253E-2</c:v>
                </c:pt>
                <c:pt idx="66">
                  <c:v>-4.4452085952826924E-2</c:v>
                </c:pt>
                <c:pt idx="67">
                  <c:v>-1.7281673515135557E-2</c:v>
                </c:pt>
                <c:pt idx="68">
                  <c:v>1.7301356514583317E-2</c:v>
                </c:pt>
                <c:pt idx="69">
                  <c:v>4.5369313727092776E-2</c:v>
                </c:pt>
                <c:pt idx="70">
                  <c:v>7.6310988858975567E-2</c:v>
                </c:pt>
                <c:pt idx="71">
                  <c:v>0.11504713177217235</c:v>
                </c:pt>
                <c:pt idx="72">
                  <c:v>0.16315238242250413</c:v>
                </c:pt>
                <c:pt idx="73">
                  <c:v>0.19686936047652145</c:v>
                </c:pt>
                <c:pt idx="74">
                  <c:v>0.35075105015912938</c:v>
                </c:pt>
                <c:pt idx="75">
                  <c:v>0.29372940075896115</c:v>
                </c:pt>
                <c:pt idx="76">
                  <c:v>0.48990985625481093</c:v>
                </c:pt>
                <c:pt idx="77">
                  <c:v>0.85016779514720964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EA-45A7-98B0-3F94B06B12C0}"/>
            </c:ext>
          </c:extLst>
        </c:ser>
        <c:ser>
          <c:idx val="1"/>
          <c:order val="1"/>
          <c:tx>
            <c:v>Exp.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NASA_Exp.data!$J$4:$J$31</c:f>
              <c:numCache>
                <c:formatCode>General</c:formatCode>
                <c:ptCount val="28"/>
                <c:pt idx="0">
                  <c:v>0</c:v>
                </c:pt>
                <c:pt idx="1">
                  <c:v>0.02</c:v>
                </c:pt>
                <c:pt idx="2">
                  <c:v>7.0000000000000007E-2</c:v>
                </c:pt>
                <c:pt idx="3">
                  <c:v>0.09</c:v>
                </c:pt>
                <c:pt idx="4">
                  <c:v>0.15</c:v>
                </c:pt>
                <c:pt idx="5">
                  <c:v>0.19</c:v>
                </c:pt>
                <c:pt idx="6">
                  <c:v>0.27</c:v>
                </c:pt>
                <c:pt idx="7">
                  <c:v>0.33</c:v>
                </c:pt>
                <c:pt idx="8">
                  <c:v>0.39</c:v>
                </c:pt>
                <c:pt idx="9">
                  <c:v>0.44</c:v>
                </c:pt>
                <c:pt idx="10">
                  <c:v>0.49</c:v>
                </c:pt>
                <c:pt idx="11">
                  <c:v>0.51</c:v>
                </c:pt>
                <c:pt idx="12">
                  <c:v>0.61</c:v>
                </c:pt>
                <c:pt idx="13">
                  <c:v>0.76</c:v>
                </c:pt>
                <c:pt idx="14">
                  <c:v>0.9</c:v>
                </c:pt>
                <c:pt idx="20">
                  <c:v>0</c:v>
                </c:pt>
                <c:pt idx="21">
                  <c:v>7.0000000000000007E-2</c:v>
                </c:pt>
                <c:pt idx="22">
                  <c:v>0.16</c:v>
                </c:pt>
                <c:pt idx="23">
                  <c:v>0.33</c:v>
                </c:pt>
                <c:pt idx="24">
                  <c:v>0.39</c:v>
                </c:pt>
                <c:pt idx="25">
                  <c:v>0.43</c:v>
                </c:pt>
                <c:pt idx="26">
                  <c:v>0.74</c:v>
                </c:pt>
                <c:pt idx="27">
                  <c:v>0.85</c:v>
                </c:pt>
              </c:numCache>
            </c:numRef>
          </c:xVal>
          <c:yVal>
            <c:numRef>
              <c:f>NASA_Exp.data!$K$4:$K$31</c:f>
              <c:numCache>
                <c:formatCode>General</c:formatCode>
                <c:ptCount val="28"/>
                <c:pt idx="0">
                  <c:v>1.0920000000000001</c:v>
                </c:pt>
                <c:pt idx="1">
                  <c:v>-0.49940000000000001</c:v>
                </c:pt>
                <c:pt idx="2">
                  <c:v>-0.8911</c:v>
                </c:pt>
                <c:pt idx="3">
                  <c:v>-0.97719999999999996</c:v>
                </c:pt>
                <c:pt idx="4">
                  <c:v>-1.0620000000000001</c:v>
                </c:pt>
                <c:pt idx="5">
                  <c:v>-1.028</c:v>
                </c:pt>
                <c:pt idx="6">
                  <c:v>-1.0820000000000001</c:v>
                </c:pt>
                <c:pt idx="7">
                  <c:v>-0.66059999999999997</c:v>
                </c:pt>
                <c:pt idx="8">
                  <c:v>-0.22370000000000001</c:v>
                </c:pt>
                <c:pt idx="9">
                  <c:v>-0.19470000000000001</c:v>
                </c:pt>
                <c:pt idx="10">
                  <c:v>-0.1394</c:v>
                </c:pt>
                <c:pt idx="11">
                  <c:v>-0.1174</c:v>
                </c:pt>
                <c:pt idx="12">
                  <c:v>-0.65269999999999995</c:v>
                </c:pt>
                <c:pt idx="13">
                  <c:v>-0.65269999999999995</c:v>
                </c:pt>
                <c:pt idx="14">
                  <c:v>6.0740000000000002E-2</c:v>
                </c:pt>
                <c:pt idx="20">
                  <c:v>1.1140000000000001</c:v>
                </c:pt>
                <c:pt idx="21">
                  <c:v>8.7739999999999999E-2</c:v>
                </c:pt>
                <c:pt idx="22">
                  <c:v>-0.2487</c:v>
                </c:pt>
                <c:pt idx="23">
                  <c:v>-0.32379999999999998</c:v>
                </c:pt>
                <c:pt idx="24">
                  <c:v>-0.25580000000000003</c:v>
                </c:pt>
                <c:pt idx="25">
                  <c:v>-0.17580000000000001</c:v>
                </c:pt>
                <c:pt idx="26">
                  <c:v>-6.4399999999999999E-2</c:v>
                </c:pt>
                <c:pt idx="27">
                  <c:v>-1.1270000000000001E-2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EA-45A7-98B0-3F94B06B1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186463"/>
        <c:axId val="1357186943"/>
      </c:scatterChart>
      <c:valAx>
        <c:axId val="1357186463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7186943"/>
        <c:crosses val="autoZero"/>
        <c:crossBetween val="midCat"/>
      </c:valAx>
      <c:valAx>
        <c:axId val="1357186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7186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83845144356955"/>
          <c:y val="0.21171223388743074"/>
          <c:w val="0.12581955380577428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Section (50%)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780324940083466E-2"/>
          <c:y val="0.21833119697247147"/>
          <c:w val="0.88727121308100898"/>
          <c:h val="0.7329423356964101"/>
        </c:manualLayout>
      </c:layout>
      <c:scatterChart>
        <c:scatterStyle val="lineMarker"/>
        <c:varyColors val="0"/>
        <c:ser>
          <c:idx val="0"/>
          <c:order val="0"/>
          <c:tx>
            <c:v>Su2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'0.5'!$H$2:$H$80</c:f>
              <c:numCache>
                <c:formatCode>General</c:formatCode>
                <c:ptCount val="79"/>
                <c:pt idx="0">
                  <c:v>0.99394185391386525</c:v>
                </c:pt>
                <c:pt idx="1">
                  <c:v>0.9865993808574699</c:v>
                </c:pt>
                <c:pt idx="2">
                  <c:v>0.97773025498736865</c:v>
                </c:pt>
                <c:pt idx="3">
                  <c:v>0.96704368529142715</c:v>
                </c:pt>
                <c:pt idx="4">
                  <c:v>0.95423676446533834</c:v>
                </c:pt>
                <c:pt idx="5">
                  <c:v>0.93895206189002045</c:v>
                </c:pt>
                <c:pt idx="6">
                  <c:v>0.92081397250813313</c:v>
                </c:pt>
                <c:pt idx="7">
                  <c:v>0.8994468912623359</c:v>
                </c:pt>
                <c:pt idx="8">
                  <c:v>0.87448127124137465</c:v>
                </c:pt>
                <c:pt idx="9">
                  <c:v>0.84559360744424983</c:v>
                </c:pt>
                <c:pt idx="10">
                  <c:v>0.81252824610612651</c:v>
                </c:pt>
                <c:pt idx="11">
                  <c:v>0.77516341849067349</c:v>
                </c:pt>
                <c:pt idx="12">
                  <c:v>0.73354092580588481</c:v>
                </c:pt>
                <c:pt idx="13">
                  <c:v>0.6879109694851181</c:v>
                </c:pt>
                <c:pt idx="14">
                  <c:v>0.63875759540065535</c:v>
                </c:pt>
                <c:pt idx="15">
                  <c:v>0.58679929967831246</c:v>
                </c:pt>
                <c:pt idx="16">
                  <c:v>0.53296419029848474</c:v>
                </c:pt>
                <c:pt idx="17">
                  <c:v>0.47833182889372183</c:v>
                </c:pt>
                <c:pt idx="18">
                  <c:v>0.42405205159117204</c:v>
                </c:pt>
                <c:pt idx="19">
                  <c:v>0.37125227937746486</c:v>
                </c:pt>
                <c:pt idx="20">
                  <c:v>0.32094664590741939</c:v>
                </c:pt>
                <c:pt idx="21">
                  <c:v>0.27396529893921856</c:v>
                </c:pt>
                <c:pt idx="22">
                  <c:v>0.23091047877528517</c:v>
                </c:pt>
                <c:pt idx="23">
                  <c:v>0.19214446255156997</c:v>
                </c:pt>
                <c:pt idx="24">
                  <c:v>0.15780380088085444</c:v>
                </c:pt>
                <c:pt idx="25">
                  <c:v>0.12783354637813735</c:v>
                </c:pt>
                <c:pt idx="26">
                  <c:v>0.10203371964111542</c:v>
                </c:pt>
                <c:pt idx="27">
                  <c:v>8.0103230809307716E-2</c:v>
                </c:pt>
                <c:pt idx="28">
                  <c:v>6.1685255078240943E-2</c:v>
                </c:pt>
                <c:pt idx="29">
                  <c:v>4.6402975761357518E-2</c:v>
                </c:pt>
                <c:pt idx="30">
                  <c:v>3.3885634318185934E-2</c:v>
                </c:pt>
                <c:pt idx="31">
                  <c:v>2.3788522236425195E-2</c:v>
                </c:pt>
                <c:pt idx="32">
                  <c:v>1.5808732211768557E-2</c:v>
                </c:pt>
                <c:pt idx="33">
                  <c:v>9.6900046647725082E-3</c:v>
                </c:pt>
                <c:pt idx="34">
                  <c:v>5.2287858869428687E-3</c:v>
                </c:pt>
                <c:pt idx="35">
                  <c:v>2.4141712153247044E-3</c:v>
                </c:pt>
                <c:pt idx="36">
                  <c:v>8.3784160371243744E-4</c:v>
                </c:pt>
                <c:pt idx="37">
                  <c:v>1.3206758467775129E-4</c:v>
                </c:pt>
                <c:pt idx="38">
                  <c:v>0</c:v>
                </c:pt>
                <c:pt idx="40">
                  <c:v>1</c:v>
                </c:pt>
                <c:pt idx="41">
                  <c:v>0.99417206346513831</c:v>
                </c:pt>
                <c:pt idx="42">
                  <c:v>0.98712038142087744</c:v>
                </c:pt>
                <c:pt idx="43">
                  <c:v>0.97858445358551371</c:v>
                </c:pt>
                <c:pt idx="44">
                  <c:v>0.96830983782342916</c:v>
                </c:pt>
                <c:pt idx="45">
                  <c:v>0.95597545239205883</c:v>
                </c:pt>
                <c:pt idx="46">
                  <c:v>0.94125415740275153</c:v>
                </c:pt>
                <c:pt idx="47">
                  <c:v>0.9237703477981668</c:v>
                </c:pt>
                <c:pt idx="48">
                  <c:v>0.9031544766670504</c:v>
                </c:pt>
                <c:pt idx="49">
                  <c:v>0.87904911339032021</c:v>
                </c:pt>
                <c:pt idx="50">
                  <c:v>0.85111681923097871</c:v>
                </c:pt>
                <c:pt idx="51">
                  <c:v>0.81911345090175502</c:v>
                </c:pt>
                <c:pt idx="52">
                  <c:v>0.78289967104266733</c:v>
                </c:pt>
                <c:pt idx="53">
                  <c:v>0.74250031805266947</c:v>
                </c:pt>
                <c:pt idx="54">
                  <c:v>0.69813954333694794</c:v>
                </c:pt>
                <c:pt idx="55">
                  <c:v>0.6502632264474425</c:v>
                </c:pt>
                <c:pt idx="56">
                  <c:v>0.59954685067275715</c:v>
                </c:pt>
                <c:pt idx="57">
                  <c:v>0.54686763556616391</c:v>
                </c:pt>
                <c:pt idx="58">
                  <c:v>0.49325061944543724</c:v>
                </c:pt>
                <c:pt idx="59">
                  <c:v>0.43979475001060175</c:v>
                </c:pt>
                <c:pt idx="60">
                  <c:v>0.38758322378185822</c:v>
                </c:pt>
                <c:pt idx="61">
                  <c:v>0.33760230694202953</c:v>
                </c:pt>
                <c:pt idx="62">
                  <c:v>0.29066881932790922</c:v>
                </c:pt>
                <c:pt idx="63">
                  <c:v>0.2473920044587955</c:v>
                </c:pt>
                <c:pt idx="64">
                  <c:v>0.20815583974991972</c:v>
                </c:pt>
                <c:pt idx="65">
                  <c:v>0.17313030466416665</c:v>
                </c:pt>
                <c:pt idx="66">
                  <c:v>0.14230161086104429</c:v>
                </c:pt>
                <c:pt idx="67">
                  <c:v>0.11550824816589626</c:v>
                </c:pt>
                <c:pt idx="68">
                  <c:v>9.248971629701877E-2</c:v>
                </c:pt>
                <c:pt idx="69">
                  <c:v>7.2921298624195011E-2</c:v>
                </c:pt>
                <c:pt idx="70">
                  <c:v>5.6451622674429172E-2</c:v>
                </c:pt>
                <c:pt idx="71">
                  <c:v>4.2729315974725422E-2</c:v>
                </c:pt>
                <c:pt idx="72">
                  <c:v>3.1422997934172185E-2</c:v>
                </c:pt>
                <c:pt idx="73">
                  <c:v>2.2237031023766122E-2</c:v>
                </c:pt>
                <c:pt idx="74">
                  <c:v>1.4922425439367035E-2</c:v>
                </c:pt>
                <c:pt idx="75">
                  <c:v>9.2810798039583836E-3</c:v>
                </c:pt>
                <c:pt idx="76">
                  <c:v>5.1603288361695534E-3</c:v>
                </c:pt>
                <c:pt idx="77">
                  <c:v>2.2560536024765813E-3</c:v>
                </c:pt>
                <c:pt idx="78">
                  <c:v>5.9672738948427818E-4</c:v>
                </c:pt>
              </c:numCache>
            </c:numRef>
          </c:xVal>
          <c:yVal>
            <c:numRef>
              <c:f>'0.5'!$I$2:$I$80</c:f>
              <c:numCache>
                <c:formatCode>General</c:formatCode>
                <c:ptCount val="79"/>
                <c:pt idx="0">
                  <c:v>1.1991078928896926</c:v>
                </c:pt>
                <c:pt idx="1">
                  <c:v>0.74420000009071641</c:v>
                </c:pt>
                <c:pt idx="2">
                  <c:v>9.6674973500649811E-2</c:v>
                </c:pt>
                <c:pt idx="3">
                  <c:v>0.50958703232995584</c:v>
                </c:pt>
                <c:pt idx="4">
                  <c:v>0.16042972278883344</c:v>
                </c:pt>
                <c:pt idx="5">
                  <c:v>0.101128223008843</c:v>
                </c:pt>
                <c:pt idx="6">
                  <c:v>0.14735182549894962</c:v>
                </c:pt>
                <c:pt idx="7">
                  <c:v>3.00453416185693E-2</c:v>
                </c:pt>
                <c:pt idx="8">
                  <c:v>6.8207998796376831E-2</c:v>
                </c:pt>
                <c:pt idx="9">
                  <c:v>3.3709407669614333E-2</c:v>
                </c:pt>
                <c:pt idx="10">
                  <c:v>-1.3585229512336212E-2</c:v>
                </c:pt>
                <c:pt idx="11">
                  <c:v>-1.4938115438875917E-2</c:v>
                </c:pt>
                <c:pt idx="12">
                  <c:v>-5.62575064452761E-2</c:v>
                </c:pt>
                <c:pt idx="13">
                  <c:v>-8.0671460394624195E-2</c:v>
                </c:pt>
                <c:pt idx="14">
                  <c:v>-0.10691181034480057</c:v>
                </c:pt>
                <c:pt idx="15">
                  <c:v>-0.13664147858051029</c:v>
                </c:pt>
                <c:pt idx="16">
                  <c:v>-0.15888517802270094</c:v>
                </c:pt>
                <c:pt idx="17">
                  <c:v>-0.18554830482492096</c:v>
                </c:pt>
                <c:pt idx="18">
                  <c:v>-0.21173792155285162</c:v>
                </c:pt>
                <c:pt idx="19">
                  <c:v>-0.23214395094482551</c:v>
                </c:pt>
                <c:pt idx="20">
                  <c:v>-0.24819819727309683</c:v>
                </c:pt>
                <c:pt idx="21">
                  <c:v>-0.27526718985327864</c:v>
                </c:pt>
                <c:pt idx="22">
                  <c:v>-0.26991765341875318</c:v>
                </c:pt>
                <c:pt idx="23">
                  <c:v>-0.27802933195329721</c:v>
                </c:pt>
                <c:pt idx="24">
                  <c:v>-0.26476541284851401</c:v>
                </c:pt>
                <c:pt idx="25">
                  <c:v>-0.26800670204751537</c:v>
                </c:pt>
                <c:pt idx="26">
                  <c:v>-0.25066721408903198</c:v>
                </c:pt>
                <c:pt idx="27">
                  <c:v>-0.19767918196622683</c:v>
                </c:pt>
                <c:pt idx="28">
                  <c:v>-0.19010865780229824</c:v>
                </c:pt>
                <c:pt idx="29">
                  <c:v>-5.7666762618754953E-2</c:v>
                </c:pt>
                <c:pt idx="30">
                  <c:v>-5.2762551135048526E-2</c:v>
                </c:pt>
                <c:pt idx="31">
                  <c:v>0.1253674291926794</c:v>
                </c:pt>
                <c:pt idx="32">
                  <c:v>0.30699236483063491</c:v>
                </c:pt>
                <c:pt idx="33">
                  <c:v>0.41268657784154938</c:v>
                </c:pt>
                <c:pt idx="34">
                  <c:v>0.66313958499221237</c:v>
                </c:pt>
                <c:pt idx="35">
                  <c:v>0.3769478412821255</c:v>
                </c:pt>
                <c:pt idx="36">
                  <c:v>0.35580899867994259</c:v>
                </c:pt>
                <c:pt idx="37">
                  <c:v>0.59617173162849701</c:v>
                </c:pt>
                <c:pt idx="38">
                  <c:v>0.42993587340493067</c:v>
                </c:pt>
                <c:pt idx="40">
                  <c:v>-8.6037907903231528E-2</c:v>
                </c:pt>
                <c:pt idx="41">
                  <c:v>1.0801666718480767</c:v>
                </c:pt>
                <c:pt idx="42">
                  <c:v>0.75637597342957386</c:v>
                </c:pt>
                <c:pt idx="43">
                  <c:v>4.5547159526836759E-2</c:v>
                </c:pt>
                <c:pt idx="44">
                  <c:v>0.4836567187379448</c:v>
                </c:pt>
                <c:pt idx="45">
                  <c:v>0.10913279807420292</c:v>
                </c:pt>
                <c:pt idx="46">
                  <c:v>0.156258324515336</c:v>
                </c:pt>
                <c:pt idx="47">
                  <c:v>0.13703607030908435</c:v>
                </c:pt>
                <c:pt idx="48">
                  <c:v>2.2942690504235842E-2</c:v>
                </c:pt>
                <c:pt idx="49">
                  <c:v>3.0327192853265069E-2</c:v>
                </c:pt>
                <c:pt idx="50">
                  <c:v>-3.5851477053302203E-2</c:v>
                </c:pt>
                <c:pt idx="51">
                  <c:v>-6.0992607188165064E-2</c:v>
                </c:pt>
                <c:pt idx="52">
                  <c:v>-9.6032352685543776E-2</c:v>
                </c:pt>
                <c:pt idx="53">
                  <c:v>-0.12642155281044143</c:v>
                </c:pt>
                <c:pt idx="54">
                  <c:v>-0.17073420392931102</c:v>
                </c:pt>
                <c:pt idx="55">
                  <c:v>-0.20994534770018633</c:v>
                </c:pt>
                <c:pt idx="56">
                  <c:v>-0.24987803063188382</c:v>
                </c:pt>
                <c:pt idx="57">
                  <c:v>-0.29191896079910534</c:v>
                </c:pt>
                <c:pt idx="58">
                  <c:v>-0.34342445542741057</c:v>
                </c:pt>
                <c:pt idx="59">
                  <c:v>-0.38783857299076996</c:v>
                </c:pt>
                <c:pt idx="60">
                  <c:v>-0.43374086507332354</c:v>
                </c:pt>
                <c:pt idx="61">
                  <c:v>-0.48406258451590656</c:v>
                </c:pt>
                <c:pt idx="62">
                  <c:v>-0.52897276025233064</c:v>
                </c:pt>
                <c:pt idx="63">
                  <c:v>-0.57046126199954839</c:v>
                </c:pt>
                <c:pt idx="64">
                  <c:v>-0.61303770951269188</c:v>
                </c:pt>
                <c:pt idx="65">
                  <c:v>-0.65465586282786969</c:v>
                </c:pt>
                <c:pt idx="66">
                  <c:v>-0.6761667490598513</c:v>
                </c:pt>
                <c:pt idx="67">
                  <c:v>-0.69934619460123149</c:v>
                </c:pt>
                <c:pt idx="68">
                  <c:v>-0.74445930322663689</c:v>
                </c:pt>
                <c:pt idx="69">
                  <c:v>-0.73221004856675853</c:v>
                </c:pt>
                <c:pt idx="70">
                  <c:v>-0.77727242396991814</c:v>
                </c:pt>
                <c:pt idx="71">
                  <c:v>-0.75266117415628386</c:v>
                </c:pt>
                <c:pt idx="72">
                  <c:v>-0.72068797009239483</c:v>
                </c:pt>
                <c:pt idx="73">
                  <c:v>-0.53555680509482406</c:v>
                </c:pt>
                <c:pt idx="74">
                  <c:v>-0.44073641271847297</c:v>
                </c:pt>
                <c:pt idx="75">
                  <c:v>-2.5592092110376101E-2</c:v>
                </c:pt>
                <c:pt idx="76">
                  <c:v>-7.1984805341300181E-2</c:v>
                </c:pt>
                <c:pt idx="77">
                  <c:v>0.49233773676657455</c:v>
                </c:pt>
                <c:pt idx="78">
                  <c:v>0.94279238005735744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49-4013-B29A-EE3D6A963633}"/>
            </c:ext>
          </c:extLst>
        </c:ser>
        <c:ser>
          <c:idx val="1"/>
          <c:order val="1"/>
          <c:tx>
            <c:v>Exp.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NASA_Exp.data!$B$4:$B$28</c:f>
              <c:numCache>
                <c:formatCode>General</c:formatCode>
                <c:ptCount val="25"/>
                <c:pt idx="0">
                  <c:v>0</c:v>
                </c:pt>
                <c:pt idx="1">
                  <c:v>0.03</c:v>
                </c:pt>
                <c:pt idx="2">
                  <c:v>0.12</c:v>
                </c:pt>
                <c:pt idx="3">
                  <c:v>0.2</c:v>
                </c:pt>
                <c:pt idx="4">
                  <c:v>0.47</c:v>
                </c:pt>
                <c:pt idx="5">
                  <c:v>0.69</c:v>
                </c:pt>
                <c:pt idx="6">
                  <c:v>0.83</c:v>
                </c:pt>
                <c:pt idx="20">
                  <c:v>0.04</c:v>
                </c:pt>
                <c:pt idx="21">
                  <c:v>0.2</c:v>
                </c:pt>
                <c:pt idx="22">
                  <c:v>0.28000000000000003</c:v>
                </c:pt>
                <c:pt idx="23">
                  <c:v>0.46</c:v>
                </c:pt>
                <c:pt idx="24">
                  <c:v>0.85</c:v>
                </c:pt>
              </c:numCache>
            </c:numRef>
          </c:xVal>
          <c:yVal>
            <c:numRef>
              <c:f>NASA_Exp.data!$C$4:$C$28</c:f>
              <c:numCache>
                <c:formatCode>General</c:formatCode>
                <c:ptCount val="25"/>
                <c:pt idx="0">
                  <c:v>-0.91379999999999995</c:v>
                </c:pt>
                <c:pt idx="1">
                  <c:v>-0.86909999999999998</c:v>
                </c:pt>
                <c:pt idx="2">
                  <c:v>-0.71340000000000003</c:v>
                </c:pt>
                <c:pt idx="3">
                  <c:v>-0.53169999999999995</c:v>
                </c:pt>
                <c:pt idx="4">
                  <c:v>-0.35170000000000001</c:v>
                </c:pt>
                <c:pt idx="5">
                  <c:v>-0.20549999999999999</c:v>
                </c:pt>
                <c:pt idx="6">
                  <c:v>-8.7359999999999993E-2</c:v>
                </c:pt>
                <c:pt idx="20">
                  <c:v>5.6059999999999999E-2</c:v>
                </c:pt>
                <c:pt idx="21">
                  <c:v>0.27579999999999999</c:v>
                </c:pt>
                <c:pt idx="22">
                  <c:v>0.2195</c:v>
                </c:pt>
                <c:pt idx="23">
                  <c:v>9.8610000000000003E-2</c:v>
                </c:pt>
                <c:pt idx="24">
                  <c:v>3.6740000000000002E-2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49-4013-B29A-EE3D6A963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5314479"/>
        <c:axId val="1605314959"/>
      </c:scatterChart>
      <c:valAx>
        <c:axId val="160531447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05314959"/>
        <c:crosses val="autoZero"/>
        <c:crossBetween val="midCat"/>
      </c:valAx>
      <c:valAx>
        <c:axId val="160531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05314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36499099989014"/>
          <c:y val="0.16855856903750521"/>
          <c:w val="0.12439419010688549"/>
          <c:h val="0.161871514287268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Section (50%)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780324940083466E-2"/>
          <c:y val="0.21833119697247147"/>
          <c:w val="0.88727121308100898"/>
          <c:h val="0.7329423356964101"/>
        </c:manualLayout>
      </c:layout>
      <c:scatterChart>
        <c:scatterStyle val="lineMarker"/>
        <c:varyColors val="0"/>
        <c:ser>
          <c:idx val="0"/>
          <c:order val="0"/>
          <c:tx>
            <c:v>Su2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'0.5'!$H$2:$H$80</c:f>
              <c:numCache>
                <c:formatCode>General</c:formatCode>
                <c:ptCount val="79"/>
                <c:pt idx="0">
                  <c:v>0.99394185391386525</c:v>
                </c:pt>
                <c:pt idx="1">
                  <c:v>0.9865993808574699</c:v>
                </c:pt>
                <c:pt idx="2">
                  <c:v>0.97773025498736865</c:v>
                </c:pt>
                <c:pt idx="3">
                  <c:v>0.96704368529142715</c:v>
                </c:pt>
                <c:pt idx="4">
                  <c:v>0.95423676446533834</c:v>
                </c:pt>
                <c:pt idx="5">
                  <c:v>0.93895206189002045</c:v>
                </c:pt>
                <c:pt idx="6">
                  <c:v>0.92081397250813313</c:v>
                </c:pt>
                <c:pt idx="7">
                  <c:v>0.8994468912623359</c:v>
                </c:pt>
                <c:pt idx="8">
                  <c:v>0.87448127124137465</c:v>
                </c:pt>
                <c:pt idx="9">
                  <c:v>0.84559360744424983</c:v>
                </c:pt>
                <c:pt idx="10">
                  <c:v>0.81252824610612651</c:v>
                </c:pt>
                <c:pt idx="11">
                  <c:v>0.77516341849067349</c:v>
                </c:pt>
                <c:pt idx="12">
                  <c:v>0.73354092580588481</c:v>
                </c:pt>
                <c:pt idx="13">
                  <c:v>0.6879109694851181</c:v>
                </c:pt>
                <c:pt idx="14">
                  <c:v>0.63875759540065535</c:v>
                </c:pt>
                <c:pt idx="15">
                  <c:v>0.58679929967831246</c:v>
                </c:pt>
                <c:pt idx="16">
                  <c:v>0.53296419029848474</c:v>
                </c:pt>
                <c:pt idx="17">
                  <c:v>0.47833182889372183</c:v>
                </c:pt>
                <c:pt idx="18">
                  <c:v>0.42405205159117204</c:v>
                </c:pt>
                <c:pt idx="19">
                  <c:v>0.37125227937746486</c:v>
                </c:pt>
                <c:pt idx="20">
                  <c:v>0.32094664590741939</c:v>
                </c:pt>
                <c:pt idx="21">
                  <c:v>0.27396529893921856</c:v>
                </c:pt>
                <c:pt idx="22">
                  <c:v>0.23091047877528517</c:v>
                </c:pt>
                <c:pt idx="23">
                  <c:v>0.19214446255156997</c:v>
                </c:pt>
                <c:pt idx="24">
                  <c:v>0.15780380088085444</c:v>
                </c:pt>
                <c:pt idx="25">
                  <c:v>0.12783354637813735</c:v>
                </c:pt>
                <c:pt idx="26">
                  <c:v>0.10203371964111542</c:v>
                </c:pt>
                <c:pt idx="27">
                  <c:v>8.0103230809307716E-2</c:v>
                </c:pt>
                <c:pt idx="28">
                  <c:v>6.1685255078240943E-2</c:v>
                </c:pt>
                <c:pt idx="29">
                  <c:v>4.6402975761357518E-2</c:v>
                </c:pt>
                <c:pt idx="30">
                  <c:v>3.3885634318185934E-2</c:v>
                </c:pt>
                <c:pt idx="31">
                  <c:v>2.3788522236425195E-2</c:v>
                </c:pt>
                <c:pt idx="32">
                  <c:v>1.5808732211768557E-2</c:v>
                </c:pt>
                <c:pt idx="33">
                  <c:v>9.6900046647725082E-3</c:v>
                </c:pt>
                <c:pt idx="34">
                  <c:v>5.2287858869428687E-3</c:v>
                </c:pt>
                <c:pt idx="35">
                  <c:v>2.4141712153247044E-3</c:v>
                </c:pt>
                <c:pt idx="36">
                  <c:v>8.3784160371243744E-4</c:v>
                </c:pt>
                <c:pt idx="37">
                  <c:v>1.3206758467775129E-4</c:v>
                </c:pt>
                <c:pt idx="38">
                  <c:v>0</c:v>
                </c:pt>
                <c:pt idx="40">
                  <c:v>1</c:v>
                </c:pt>
                <c:pt idx="41">
                  <c:v>0.99417206346513831</c:v>
                </c:pt>
                <c:pt idx="42">
                  <c:v>0.98712038142087744</c:v>
                </c:pt>
                <c:pt idx="43">
                  <c:v>0.97858445358551371</c:v>
                </c:pt>
                <c:pt idx="44">
                  <c:v>0.96830983782342916</c:v>
                </c:pt>
                <c:pt idx="45">
                  <c:v>0.95597545239205883</c:v>
                </c:pt>
                <c:pt idx="46">
                  <c:v>0.94125415740275153</c:v>
                </c:pt>
                <c:pt idx="47">
                  <c:v>0.9237703477981668</c:v>
                </c:pt>
                <c:pt idx="48">
                  <c:v>0.9031544766670504</c:v>
                </c:pt>
                <c:pt idx="49">
                  <c:v>0.87904911339032021</c:v>
                </c:pt>
                <c:pt idx="50">
                  <c:v>0.85111681923097871</c:v>
                </c:pt>
                <c:pt idx="51">
                  <c:v>0.81911345090175502</c:v>
                </c:pt>
                <c:pt idx="52">
                  <c:v>0.78289967104266733</c:v>
                </c:pt>
                <c:pt idx="53">
                  <c:v>0.74250031805266947</c:v>
                </c:pt>
                <c:pt idx="54">
                  <c:v>0.69813954333694794</c:v>
                </c:pt>
                <c:pt idx="55">
                  <c:v>0.6502632264474425</c:v>
                </c:pt>
                <c:pt idx="56">
                  <c:v>0.59954685067275715</c:v>
                </c:pt>
                <c:pt idx="57">
                  <c:v>0.54686763556616391</c:v>
                </c:pt>
                <c:pt idx="58">
                  <c:v>0.49325061944543724</c:v>
                </c:pt>
                <c:pt idx="59">
                  <c:v>0.43979475001060175</c:v>
                </c:pt>
                <c:pt idx="60">
                  <c:v>0.38758322378185822</c:v>
                </c:pt>
                <c:pt idx="61">
                  <c:v>0.33760230694202953</c:v>
                </c:pt>
                <c:pt idx="62">
                  <c:v>0.29066881932790922</c:v>
                </c:pt>
                <c:pt idx="63">
                  <c:v>0.2473920044587955</c:v>
                </c:pt>
                <c:pt idx="64">
                  <c:v>0.20815583974991972</c:v>
                </c:pt>
                <c:pt idx="65">
                  <c:v>0.17313030466416665</c:v>
                </c:pt>
                <c:pt idx="66">
                  <c:v>0.14230161086104429</c:v>
                </c:pt>
                <c:pt idx="67">
                  <c:v>0.11550824816589626</c:v>
                </c:pt>
                <c:pt idx="68">
                  <c:v>9.248971629701877E-2</c:v>
                </c:pt>
                <c:pt idx="69">
                  <c:v>7.2921298624195011E-2</c:v>
                </c:pt>
                <c:pt idx="70">
                  <c:v>5.6451622674429172E-2</c:v>
                </c:pt>
                <c:pt idx="71">
                  <c:v>4.2729315974725422E-2</c:v>
                </c:pt>
                <c:pt idx="72">
                  <c:v>3.1422997934172185E-2</c:v>
                </c:pt>
                <c:pt idx="73">
                  <c:v>2.2237031023766122E-2</c:v>
                </c:pt>
                <c:pt idx="74">
                  <c:v>1.4922425439367035E-2</c:v>
                </c:pt>
                <c:pt idx="75">
                  <c:v>9.2810798039583836E-3</c:v>
                </c:pt>
                <c:pt idx="76">
                  <c:v>5.1603288361695534E-3</c:v>
                </c:pt>
                <c:pt idx="77">
                  <c:v>2.2560536024765813E-3</c:v>
                </c:pt>
                <c:pt idx="78">
                  <c:v>5.9672738948427818E-4</c:v>
                </c:pt>
              </c:numCache>
            </c:numRef>
          </c:xVal>
          <c:yVal>
            <c:numRef>
              <c:f>'0.5'!$Y:$Y</c:f>
              <c:numCache>
                <c:formatCode>General</c:formatCode>
                <c:ptCount val="1048576"/>
                <c:pt idx="0">
                  <c:v>0</c:v>
                </c:pt>
                <c:pt idx="1">
                  <c:v>0.38993800000000001</c:v>
                </c:pt>
                <c:pt idx="2">
                  <c:v>-2.7979299999999999E-2</c:v>
                </c:pt>
                <c:pt idx="3">
                  <c:v>0.242012</c:v>
                </c:pt>
                <c:pt idx="4">
                  <c:v>3.1443499999999999E-2</c:v>
                </c:pt>
                <c:pt idx="5">
                  <c:v>0.16570499999999999</c:v>
                </c:pt>
                <c:pt idx="6">
                  <c:v>5.21755E-2</c:v>
                </c:pt>
                <c:pt idx="7">
                  <c:v>3.2894399999999997E-2</c:v>
                </c:pt>
                <c:pt idx="8">
                  <c:v>4.7924300000000003E-2</c:v>
                </c:pt>
                <c:pt idx="9">
                  <c:v>9.7655899999999993E-3</c:v>
                </c:pt>
                <c:pt idx="10">
                  <c:v>7.45658E-3</c:v>
                </c:pt>
                <c:pt idx="11">
                  <c:v>9.8665699999999999E-3</c:v>
                </c:pt>
                <c:pt idx="12">
                  <c:v>4.4567500000000003E-2</c:v>
                </c:pt>
                <c:pt idx="13">
                  <c:v>-8.1514699999999995E-2</c:v>
                </c:pt>
                <c:pt idx="14">
                  <c:v>-8.7152400000000005E-2</c:v>
                </c:pt>
                <c:pt idx="15">
                  <c:v>-6.4282500000000006E-2</c:v>
                </c:pt>
                <c:pt idx="16">
                  <c:v>-6.1821599999999997E-2</c:v>
                </c:pt>
                <c:pt idx="17">
                  <c:v>-1.8749499999999999E-2</c:v>
                </c:pt>
                <c:pt idx="18">
                  <c:v>-1.7155199999999999E-2</c:v>
                </c:pt>
                <c:pt idx="19">
                  <c:v>-4.8666400000000002E-3</c:v>
                </c:pt>
                <c:pt idx="20">
                  <c:v>-4.4250499999999998E-3</c:v>
                </c:pt>
                <c:pt idx="21">
                  <c:v>-1.83013E-2</c:v>
                </c:pt>
                <c:pt idx="22">
                  <c:v>-2.6232800000000001E-2</c:v>
                </c:pt>
                <c:pt idx="23">
                  <c:v>-3.4766100000000001E-2</c:v>
                </c:pt>
                <c:pt idx="24">
                  <c:v>-4.44342E-2</c:v>
                </c:pt>
                <c:pt idx="25">
                  <c:v>-0.18550700000000001</c:v>
                </c:pt>
                <c:pt idx="26">
                  <c:v>-0.199353</c:v>
                </c:pt>
                <c:pt idx="27">
                  <c:v>-0.172015</c:v>
                </c:pt>
                <c:pt idx="28">
                  <c:v>-0.157411</c:v>
                </c:pt>
                <c:pt idx="29">
                  <c:v>-0.14104800000000001</c:v>
                </c:pt>
                <c:pt idx="30">
                  <c:v>-0.12612200000000001</c:v>
                </c:pt>
                <c:pt idx="31">
                  <c:v>-0.111678</c:v>
                </c:pt>
                <c:pt idx="32">
                  <c:v>-9.4928100000000001E-2</c:v>
                </c:pt>
                <c:pt idx="33">
                  <c:v>-8.1257700000000002E-2</c:v>
                </c:pt>
                <c:pt idx="34">
                  <c:v>-8.6098400000000005E-2</c:v>
                </c:pt>
                <c:pt idx="35">
                  <c:v>-9.0412300000000001E-2</c:v>
                </c:pt>
                <c:pt idx="36">
                  <c:v>2.2179899999999999E-2</c:v>
                </c:pt>
                <c:pt idx="37">
                  <c:v>1.0969899999999999E-2</c:v>
                </c:pt>
                <c:pt idx="38">
                  <c:v>0.35125899999999999</c:v>
                </c:pt>
                <c:pt idx="39">
                  <c:v>0.24596999999999999</c:v>
                </c:pt>
                <c:pt idx="40">
                  <c:v>-0.23435900000000001</c:v>
                </c:pt>
                <c:pt idx="41">
                  <c:v>-0.17415700000000001</c:v>
                </c:pt>
                <c:pt idx="42">
                  <c:v>-0.244758</c:v>
                </c:pt>
                <c:pt idx="43">
                  <c:v>-0.25276100000000001</c:v>
                </c:pt>
                <c:pt idx="44">
                  <c:v>-0.23810600000000001</c:v>
                </c:pt>
                <c:pt idx="45">
                  <c:v>4.0765700000000002E-2</c:v>
                </c:pt>
                <c:pt idx="46">
                  <c:v>9.9826899999999996E-2</c:v>
                </c:pt>
                <c:pt idx="47">
                  <c:v>-8.3169999999999997E-3</c:v>
                </c:pt>
                <c:pt idx="48">
                  <c:v>-2.3399799999999998E-2</c:v>
                </c:pt>
                <c:pt idx="49">
                  <c:v>-0.143322</c:v>
                </c:pt>
                <c:pt idx="50">
                  <c:v>-0.21288799999999999</c:v>
                </c:pt>
                <c:pt idx="51">
                  <c:v>-0.219883</c:v>
                </c:pt>
                <c:pt idx="52">
                  <c:v>-6.8272399999999997E-2</c:v>
                </c:pt>
                <c:pt idx="53">
                  <c:v>-5.5520399999999998E-2</c:v>
                </c:pt>
                <c:pt idx="54">
                  <c:v>-4.1110300000000002E-2</c:v>
                </c:pt>
                <c:pt idx="55">
                  <c:v>-3.1228599999999999E-2</c:v>
                </c:pt>
                <c:pt idx="56">
                  <c:v>-1.9827000000000001E-2</c:v>
                </c:pt>
                <c:pt idx="57">
                  <c:v>0.21564900000000001</c:v>
                </c:pt>
                <c:pt idx="58">
                  <c:v>0.13420299999999999</c:v>
                </c:pt>
                <c:pt idx="59">
                  <c:v>0.160103</c:v>
                </c:pt>
                <c:pt idx="60">
                  <c:v>0.30658400000000002</c:v>
                </c:pt>
                <c:pt idx="61">
                  <c:v>0.13980200000000001</c:v>
                </c:pt>
                <c:pt idx="62">
                  <c:v>0.15728200000000001</c:v>
                </c:pt>
                <c:pt idx="63">
                  <c:v>3.5487900000000003E-2</c:v>
                </c:pt>
                <c:pt idx="64">
                  <c:v>1.4807799999999999E-2</c:v>
                </c:pt>
                <c:pt idx="65">
                  <c:v>5.0810000000000001E-2</c:v>
                </c:pt>
                <c:pt idx="66">
                  <c:v>-5.1667200000000003E-2</c:v>
                </c:pt>
                <c:pt idx="67">
                  <c:v>-6.0338500000000003E-2</c:v>
                </c:pt>
                <c:pt idx="68">
                  <c:v>-6.8855299999999994E-2</c:v>
                </c:pt>
                <c:pt idx="69">
                  <c:v>-7.5490399999999999E-2</c:v>
                </c:pt>
                <c:pt idx="70">
                  <c:v>-8.0711500000000005E-2</c:v>
                </c:pt>
                <c:pt idx="71">
                  <c:v>-8.9513700000000002E-2</c:v>
                </c:pt>
                <c:pt idx="72">
                  <c:v>-8.7774900000000003E-2</c:v>
                </c:pt>
                <c:pt idx="73">
                  <c:v>0.122574</c:v>
                </c:pt>
                <c:pt idx="74">
                  <c:v>0.11570999999999999</c:v>
                </c:pt>
                <c:pt idx="75">
                  <c:v>0.19386600000000001</c:v>
                </c:pt>
                <c:pt idx="76">
                  <c:v>-0.24209</c:v>
                </c:pt>
                <c:pt idx="77">
                  <c:v>-0.22742000000000001</c:v>
                </c:pt>
                <c:pt idx="78">
                  <c:v>-1.16609E-2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66-44E4-BE6E-64D53715B732}"/>
            </c:ext>
          </c:extLst>
        </c:ser>
        <c:ser>
          <c:idx val="1"/>
          <c:order val="1"/>
          <c:tx>
            <c:v>Exp.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NASA_Exp.data!$B$4:$B$28</c:f>
              <c:numCache>
                <c:formatCode>General</c:formatCode>
                <c:ptCount val="25"/>
                <c:pt idx="0">
                  <c:v>0</c:v>
                </c:pt>
                <c:pt idx="1">
                  <c:v>0.03</c:v>
                </c:pt>
                <c:pt idx="2">
                  <c:v>0.12</c:v>
                </c:pt>
                <c:pt idx="3">
                  <c:v>0.2</c:v>
                </c:pt>
                <c:pt idx="4">
                  <c:v>0.47</c:v>
                </c:pt>
                <c:pt idx="5">
                  <c:v>0.69</c:v>
                </c:pt>
                <c:pt idx="6">
                  <c:v>0.83</c:v>
                </c:pt>
                <c:pt idx="20">
                  <c:v>0.04</c:v>
                </c:pt>
                <c:pt idx="21">
                  <c:v>0.2</c:v>
                </c:pt>
                <c:pt idx="22">
                  <c:v>0.28000000000000003</c:v>
                </c:pt>
                <c:pt idx="23">
                  <c:v>0.46</c:v>
                </c:pt>
                <c:pt idx="24">
                  <c:v>0.85</c:v>
                </c:pt>
              </c:numCache>
            </c:numRef>
          </c:xVal>
          <c:yVal>
            <c:numRef>
              <c:f>NASA_Exp.data!$C$4:$C$28</c:f>
              <c:numCache>
                <c:formatCode>General</c:formatCode>
                <c:ptCount val="25"/>
                <c:pt idx="0">
                  <c:v>-0.91379999999999995</c:v>
                </c:pt>
                <c:pt idx="1">
                  <c:v>-0.86909999999999998</c:v>
                </c:pt>
                <c:pt idx="2">
                  <c:v>-0.71340000000000003</c:v>
                </c:pt>
                <c:pt idx="3">
                  <c:v>-0.53169999999999995</c:v>
                </c:pt>
                <c:pt idx="4">
                  <c:v>-0.35170000000000001</c:v>
                </c:pt>
                <c:pt idx="5">
                  <c:v>-0.20549999999999999</c:v>
                </c:pt>
                <c:pt idx="6">
                  <c:v>-8.7359999999999993E-2</c:v>
                </c:pt>
                <c:pt idx="20">
                  <c:v>5.6059999999999999E-2</c:v>
                </c:pt>
                <c:pt idx="21">
                  <c:v>0.27579999999999999</c:v>
                </c:pt>
                <c:pt idx="22">
                  <c:v>0.2195</c:v>
                </c:pt>
                <c:pt idx="23">
                  <c:v>9.8610000000000003E-2</c:v>
                </c:pt>
                <c:pt idx="24">
                  <c:v>3.6740000000000002E-2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66-44E4-BE6E-64D53715B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5314479"/>
        <c:axId val="1605314959"/>
      </c:scatterChart>
      <c:valAx>
        <c:axId val="160531447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05314959"/>
        <c:crosses val="autoZero"/>
        <c:crossBetween val="midCat"/>
      </c:valAx>
      <c:valAx>
        <c:axId val="160531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05314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266459792845378"/>
          <c:y val="0.22611243362021607"/>
          <c:w val="0.12439419010688549"/>
          <c:h val="0.161871514287268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Section</a:t>
            </a:r>
            <a:r>
              <a:rPr lang="en-US" altLang="ko-KR" baseline="0"/>
              <a:t> (68%)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0539370078740152E-2"/>
          <c:y val="0.17171296296296296"/>
          <c:w val="0.88697462817147854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v>su2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'0.68'!$H$2:$H$80</c:f>
              <c:numCache>
                <c:formatCode>General</c:formatCode>
                <c:ptCount val="79"/>
                <c:pt idx="0">
                  <c:v>5.9672738948427818E-4</c:v>
                </c:pt>
                <c:pt idx="1">
                  <c:v>2.2560536024765813E-3</c:v>
                </c:pt>
                <c:pt idx="2">
                  <c:v>5.1603288361695534E-3</c:v>
                </c:pt>
                <c:pt idx="3">
                  <c:v>9.2810798039583836E-3</c:v>
                </c:pt>
                <c:pt idx="4">
                  <c:v>1.4922425439367035E-2</c:v>
                </c:pt>
                <c:pt idx="5">
                  <c:v>2.2237031023766122E-2</c:v>
                </c:pt>
                <c:pt idx="6">
                  <c:v>3.1422997934172185E-2</c:v>
                </c:pt>
                <c:pt idx="7">
                  <c:v>4.2729315974725422E-2</c:v>
                </c:pt>
                <c:pt idx="8">
                  <c:v>5.6451622674429172E-2</c:v>
                </c:pt>
                <c:pt idx="9">
                  <c:v>7.2921298624195011E-2</c:v>
                </c:pt>
                <c:pt idx="10">
                  <c:v>9.248971629701877E-2</c:v>
                </c:pt>
                <c:pt idx="11">
                  <c:v>0.11550824816589626</c:v>
                </c:pt>
                <c:pt idx="12">
                  <c:v>0.14230161086104429</c:v>
                </c:pt>
                <c:pt idx="13">
                  <c:v>0.17313030466416665</c:v>
                </c:pt>
                <c:pt idx="14">
                  <c:v>0.20815583974991972</c:v>
                </c:pt>
                <c:pt idx="15">
                  <c:v>0.2473920044587955</c:v>
                </c:pt>
                <c:pt idx="16">
                  <c:v>0.29066881932790922</c:v>
                </c:pt>
                <c:pt idx="17">
                  <c:v>0.33760230694202953</c:v>
                </c:pt>
                <c:pt idx="18">
                  <c:v>0.38758322378185822</c:v>
                </c:pt>
                <c:pt idx="19">
                  <c:v>0.43979475001060175</c:v>
                </c:pt>
                <c:pt idx="20">
                  <c:v>0.49325061944543724</c:v>
                </c:pt>
                <c:pt idx="21">
                  <c:v>0.54686763556616391</c:v>
                </c:pt>
                <c:pt idx="22">
                  <c:v>0.59954685067275715</c:v>
                </c:pt>
                <c:pt idx="23">
                  <c:v>0.6502632264474425</c:v>
                </c:pt>
                <c:pt idx="24">
                  <c:v>0.69813954333694794</c:v>
                </c:pt>
                <c:pt idx="25">
                  <c:v>0.74250031805266947</c:v>
                </c:pt>
                <c:pt idx="26">
                  <c:v>0.78289967104266733</c:v>
                </c:pt>
                <c:pt idx="27">
                  <c:v>0.81911345090175502</c:v>
                </c:pt>
                <c:pt idx="28">
                  <c:v>0.85111681923097871</c:v>
                </c:pt>
                <c:pt idx="29">
                  <c:v>0.87904911339032021</c:v>
                </c:pt>
                <c:pt idx="30">
                  <c:v>0.9031544766670504</c:v>
                </c:pt>
                <c:pt idx="31">
                  <c:v>0.9237703477981668</c:v>
                </c:pt>
                <c:pt idx="32">
                  <c:v>0.94125415740275153</c:v>
                </c:pt>
                <c:pt idx="33">
                  <c:v>0.95597545239205883</c:v>
                </c:pt>
                <c:pt idx="34">
                  <c:v>0.96830983782342916</c:v>
                </c:pt>
                <c:pt idx="35">
                  <c:v>0.97858445358551371</c:v>
                </c:pt>
                <c:pt idx="36">
                  <c:v>0.98712038142087744</c:v>
                </c:pt>
                <c:pt idx="37">
                  <c:v>0.99417206346513831</c:v>
                </c:pt>
                <c:pt idx="38">
                  <c:v>1</c:v>
                </c:pt>
                <c:pt idx="40">
                  <c:v>0</c:v>
                </c:pt>
                <c:pt idx="41">
                  <c:v>1.3206758467775129E-4</c:v>
                </c:pt>
                <c:pt idx="42">
                  <c:v>8.3784160371243744E-4</c:v>
                </c:pt>
                <c:pt idx="43">
                  <c:v>2.4141712153247044E-3</c:v>
                </c:pt>
                <c:pt idx="44">
                  <c:v>5.2287858869428687E-3</c:v>
                </c:pt>
                <c:pt idx="45">
                  <c:v>9.6900046647725082E-3</c:v>
                </c:pt>
                <c:pt idx="46">
                  <c:v>1.5808732211768557E-2</c:v>
                </c:pt>
                <c:pt idx="47">
                  <c:v>2.3788522236425195E-2</c:v>
                </c:pt>
                <c:pt idx="48">
                  <c:v>3.3885634318185934E-2</c:v>
                </c:pt>
                <c:pt idx="49">
                  <c:v>4.6402975761357518E-2</c:v>
                </c:pt>
                <c:pt idx="50">
                  <c:v>6.1685255078240943E-2</c:v>
                </c:pt>
                <c:pt idx="51">
                  <c:v>8.0103230809307716E-2</c:v>
                </c:pt>
                <c:pt idx="52">
                  <c:v>0.10203371964111542</c:v>
                </c:pt>
                <c:pt idx="53">
                  <c:v>0.12783354637813735</c:v>
                </c:pt>
                <c:pt idx="54">
                  <c:v>0.15780380088085444</c:v>
                </c:pt>
                <c:pt idx="55">
                  <c:v>0.19214446255156997</c:v>
                </c:pt>
                <c:pt idx="56">
                  <c:v>0.23091047877528517</c:v>
                </c:pt>
                <c:pt idx="57">
                  <c:v>0.27396529893921856</c:v>
                </c:pt>
                <c:pt idx="58">
                  <c:v>0.32094664590741939</c:v>
                </c:pt>
                <c:pt idx="59">
                  <c:v>0.37125227937746486</c:v>
                </c:pt>
                <c:pt idx="60">
                  <c:v>0.42405205159117204</c:v>
                </c:pt>
                <c:pt idx="61">
                  <c:v>0.47833182889372183</c:v>
                </c:pt>
                <c:pt idx="62">
                  <c:v>0.53296419029848474</c:v>
                </c:pt>
                <c:pt idx="63">
                  <c:v>0.58679929967831246</c:v>
                </c:pt>
                <c:pt idx="64">
                  <c:v>0.63875759540065535</c:v>
                </c:pt>
                <c:pt idx="65">
                  <c:v>0.6879109694851181</c:v>
                </c:pt>
                <c:pt idx="66">
                  <c:v>0.73354092580588481</c:v>
                </c:pt>
                <c:pt idx="67">
                  <c:v>0.77516341849067349</c:v>
                </c:pt>
                <c:pt idx="68">
                  <c:v>0.81252824610612651</c:v>
                </c:pt>
                <c:pt idx="69">
                  <c:v>0.84559360744424983</c:v>
                </c:pt>
                <c:pt idx="70">
                  <c:v>0.87448127124137465</c:v>
                </c:pt>
                <c:pt idx="71">
                  <c:v>0.8994468912623359</c:v>
                </c:pt>
                <c:pt idx="72">
                  <c:v>0.92081397250813313</c:v>
                </c:pt>
                <c:pt idx="73">
                  <c:v>0.93895206189002045</c:v>
                </c:pt>
                <c:pt idx="74">
                  <c:v>0.95423676446533834</c:v>
                </c:pt>
                <c:pt idx="75">
                  <c:v>0.96704368529142715</c:v>
                </c:pt>
                <c:pt idx="76">
                  <c:v>0.97773025498736865</c:v>
                </c:pt>
                <c:pt idx="77">
                  <c:v>0.9865993808574699</c:v>
                </c:pt>
                <c:pt idx="78">
                  <c:v>0.99394185391386525</c:v>
                </c:pt>
              </c:numCache>
            </c:numRef>
          </c:xVal>
          <c:yVal>
            <c:numRef>
              <c:f>'0.68'!$I$2:$I$80</c:f>
              <c:numCache>
                <c:formatCode>General</c:formatCode>
                <c:ptCount val="79"/>
                <c:pt idx="0">
                  <c:v>0.84410560088083708</c:v>
                </c:pt>
                <c:pt idx="1">
                  <c:v>0.77448429413485453</c:v>
                </c:pt>
                <c:pt idx="2">
                  <c:v>0.17352583272294139</c:v>
                </c:pt>
                <c:pt idx="3">
                  <c:v>0.10615491164955625</c:v>
                </c:pt>
                <c:pt idx="4">
                  <c:v>-0.16284353323333042</c:v>
                </c:pt>
                <c:pt idx="5">
                  <c:v>-0.50013063459670859</c:v>
                </c:pt>
                <c:pt idx="6">
                  <c:v>-0.63457359739633701</c:v>
                </c:pt>
                <c:pt idx="7">
                  <c:v>-0.67917694467274048</c:v>
                </c:pt>
                <c:pt idx="8">
                  <c:v>-0.75859797777736204</c:v>
                </c:pt>
                <c:pt idx="9">
                  <c:v>-0.75559511939549007</c:v>
                </c:pt>
                <c:pt idx="10">
                  <c:v>-0.75790528093751575</c:v>
                </c:pt>
                <c:pt idx="11">
                  <c:v>-0.75405501170080613</c:v>
                </c:pt>
                <c:pt idx="12">
                  <c:v>-0.69407168484324488</c:v>
                </c:pt>
                <c:pt idx="13">
                  <c:v>-0.68947949158010058</c:v>
                </c:pt>
                <c:pt idx="14">
                  <c:v>-0.63131757062629745</c:v>
                </c:pt>
                <c:pt idx="15">
                  <c:v>-0.59399984696492847</c:v>
                </c:pt>
                <c:pt idx="16">
                  <c:v>-0.54421006395871063</c:v>
                </c:pt>
                <c:pt idx="17">
                  <c:v>-0.49393855776945206</c:v>
                </c:pt>
                <c:pt idx="18">
                  <c:v>-0.43745739361487074</c:v>
                </c:pt>
                <c:pt idx="19">
                  <c:v>-0.38488627456642682</c:v>
                </c:pt>
                <c:pt idx="20">
                  <c:v>-0.33151697184973361</c:v>
                </c:pt>
                <c:pt idx="21">
                  <c:v>-0.28450500865812822</c:v>
                </c:pt>
                <c:pt idx="22">
                  <c:v>-0.23183191900889497</c:v>
                </c:pt>
                <c:pt idx="23">
                  <c:v>-0.1935226191605374</c:v>
                </c:pt>
                <c:pt idx="24">
                  <c:v>-0.1493904463843343</c:v>
                </c:pt>
                <c:pt idx="25">
                  <c:v>-0.11120773073006002</c:v>
                </c:pt>
                <c:pt idx="26">
                  <c:v>-6.6639545729790889E-2</c:v>
                </c:pt>
                <c:pt idx="27">
                  <c:v>-3.4670004268453944E-2</c:v>
                </c:pt>
                <c:pt idx="28">
                  <c:v>8.368621719971641E-3</c:v>
                </c:pt>
                <c:pt idx="29">
                  <c:v>4.4058331996321289E-2</c:v>
                </c:pt>
                <c:pt idx="30">
                  <c:v>7.0359714544803595E-2</c:v>
                </c:pt>
                <c:pt idx="31">
                  <c:v>0.12711162822561967</c:v>
                </c:pt>
                <c:pt idx="32">
                  <c:v>0.14353241118035395</c:v>
                </c:pt>
                <c:pt idx="33">
                  <c:v>0.21413826165809788</c:v>
                </c:pt>
                <c:pt idx="34">
                  <c:v>0.44522474041294507</c:v>
                </c:pt>
                <c:pt idx="35">
                  <c:v>0.25661429122837409</c:v>
                </c:pt>
                <c:pt idx="36">
                  <c:v>0.61256201253624354</c:v>
                </c:pt>
                <c:pt idx="37">
                  <c:v>1.0165414030436142</c:v>
                </c:pt>
                <c:pt idx="38">
                  <c:v>-0.1076844706613998</c:v>
                </c:pt>
                <c:pt idx="40">
                  <c:v>0.77054611920780902</c:v>
                </c:pt>
                <c:pt idx="41">
                  <c:v>0.77128452700663008</c:v>
                </c:pt>
                <c:pt idx="42">
                  <c:v>0.57064857938411662</c:v>
                </c:pt>
                <c:pt idx="43">
                  <c:v>0.6139333413054826</c:v>
                </c:pt>
                <c:pt idx="44">
                  <c:v>0.67184561009873167</c:v>
                </c:pt>
                <c:pt idx="45">
                  <c:v>0.33819077186003044</c:v>
                </c:pt>
                <c:pt idx="46">
                  <c:v>0.31224101207289151</c:v>
                </c:pt>
                <c:pt idx="47">
                  <c:v>9.3109707203718098E-2</c:v>
                </c:pt>
                <c:pt idx="48">
                  <c:v>-9.212516347195672E-3</c:v>
                </c:pt>
                <c:pt idx="49">
                  <c:v>-0.13121154962288331</c:v>
                </c:pt>
                <c:pt idx="50">
                  <c:v>-0.16068808570629561</c:v>
                </c:pt>
                <c:pt idx="51">
                  <c:v>-0.26061224202484784</c:v>
                </c:pt>
                <c:pt idx="52">
                  <c:v>-0.26562286637399052</c:v>
                </c:pt>
                <c:pt idx="53">
                  <c:v>-0.31983957994552142</c:v>
                </c:pt>
                <c:pt idx="54">
                  <c:v>-0.30731126095885786</c:v>
                </c:pt>
                <c:pt idx="55">
                  <c:v>-0.31777203810882243</c:v>
                </c:pt>
                <c:pt idx="56">
                  <c:v>-0.32295847383863679</c:v>
                </c:pt>
                <c:pt idx="57">
                  <c:v>-0.29182579454929658</c:v>
                </c:pt>
                <c:pt idx="58">
                  <c:v>-0.28638619043131514</c:v>
                </c:pt>
                <c:pt idx="59">
                  <c:v>-0.2598808666812536</c:v>
                </c:pt>
                <c:pt idx="60">
                  <c:v>-0.23212728212842368</c:v>
                </c:pt>
                <c:pt idx="61">
                  <c:v>-0.20543559831485006</c:v>
                </c:pt>
                <c:pt idx="62">
                  <c:v>-0.17686273272808953</c:v>
                </c:pt>
                <c:pt idx="63">
                  <c:v>-0.14723148262968586</c:v>
                </c:pt>
                <c:pt idx="64">
                  <c:v>-0.1178147224157018</c:v>
                </c:pt>
                <c:pt idx="65">
                  <c:v>-9.0725704881810101E-2</c:v>
                </c:pt>
                <c:pt idx="66">
                  <c:v>-6.4150056579479892E-2</c:v>
                </c:pt>
                <c:pt idx="67">
                  <c:v>-3.1505399416363829E-2</c:v>
                </c:pt>
                <c:pt idx="68">
                  <c:v>-1.0021248698285369E-2</c:v>
                </c:pt>
                <c:pt idx="69">
                  <c:v>2.2539019002108498E-2</c:v>
                </c:pt>
                <c:pt idx="70">
                  <c:v>6.1780119168025942E-2</c:v>
                </c:pt>
                <c:pt idx="71">
                  <c:v>6.8531276185818182E-2</c:v>
                </c:pt>
                <c:pt idx="72">
                  <c:v>0.14877159032436982</c:v>
                </c:pt>
                <c:pt idx="73">
                  <c:v>0.17275226264798602</c:v>
                </c:pt>
                <c:pt idx="74">
                  <c:v>0.13797677155112908</c:v>
                </c:pt>
                <c:pt idx="75">
                  <c:v>0.47750370990426422</c:v>
                </c:pt>
                <c:pt idx="76">
                  <c:v>0.21811159886127771</c:v>
                </c:pt>
                <c:pt idx="77">
                  <c:v>0.55929116419272662</c:v>
                </c:pt>
                <c:pt idx="78">
                  <c:v>1.1233292356635884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3F-49A6-9B52-16B946690222}"/>
            </c:ext>
          </c:extLst>
        </c:ser>
        <c:ser>
          <c:idx val="1"/>
          <c:order val="1"/>
          <c:tx>
            <c:v>Exp.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NASA_Exp.data!$D$4:$D$30</c:f>
              <c:numCache>
                <c:formatCode>General</c:formatCode>
                <c:ptCount val="27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0.15</c:v>
                </c:pt>
                <c:pt idx="4">
                  <c:v>0.19</c:v>
                </c:pt>
                <c:pt idx="5">
                  <c:v>0.23</c:v>
                </c:pt>
                <c:pt idx="6">
                  <c:v>0.28999999999999998</c:v>
                </c:pt>
                <c:pt idx="7">
                  <c:v>0.33</c:v>
                </c:pt>
                <c:pt idx="8">
                  <c:v>0.34</c:v>
                </c:pt>
                <c:pt idx="9">
                  <c:v>0.44</c:v>
                </c:pt>
                <c:pt idx="10">
                  <c:v>0.52</c:v>
                </c:pt>
                <c:pt idx="11">
                  <c:v>0.61</c:v>
                </c:pt>
                <c:pt idx="12">
                  <c:v>0.73</c:v>
                </c:pt>
                <c:pt idx="13">
                  <c:v>0.8</c:v>
                </c:pt>
                <c:pt idx="20">
                  <c:v>0</c:v>
                </c:pt>
                <c:pt idx="21">
                  <c:v>7.0000000000000007E-2</c:v>
                </c:pt>
                <c:pt idx="22">
                  <c:v>0.18</c:v>
                </c:pt>
                <c:pt idx="23">
                  <c:v>0.28000000000000003</c:v>
                </c:pt>
                <c:pt idx="24">
                  <c:v>0.38</c:v>
                </c:pt>
                <c:pt idx="25">
                  <c:v>0.51</c:v>
                </c:pt>
                <c:pt idx="26">
                  <c:v>0.79</c:v>
                </c:pt>
              </c:numCache>
            </c:numRef>
          </c:xVal>
          <c:yVal>
            <c:numRef>
              <c:f>NASA_Exp.data!$E$4:$E$30</c:f>
              <c:numCache>
                <c:formatCode>General</c:formatCode>
                <c:ptCount val="27"/>
                <c:pt idx="0">
                  <c:v>-0.94159999999999999</c:v>
                </c:pt>
                <c:pt idx="1">
                  <c:v>-0.93979999999999997</c:v>
                </c:pt>
                <c:pt idx="2">
                  <c:v>-0.91080000000000005</c:v>
                </c:pt>
                <c:pt idx="3">
                  <c:v>-0.87250000000000005</c:v>
                </c:pt>
                <c:pt idx="4">
                  <c:v>-0.72540000000000004</c:v>
                </c:pt>
                <c:pt idx="5">
                  <c:v>-0.64880000000000004</c:v>
                </c:pt>
                <c:pt idx="6">
                  <c:v>-0.58340000000000003</c:v>
                </c:pt>
                <c:pt idx="7">
                  <c:v>-0.53069999999999995</c:v>
                </c:pt>
                <c:pt idx="8">
                  <c:v>-0.41830000000000001</c:v>
                </c:pt>
                <c:pt idx="9">
                  <c:v>-0.39369999999999999</c:v>
                </c:pt>
                <c:pt idx="10">
                  <c:v>-0.32350000000000001</c:v>
                </c:pt>
                <c:pt idx="11">
                  <c:v>-0.2215</c:v>
                </c:pt>
                <c:pt idx="12">
                  <c:v>-0.1338</c:v>
                </c:pt>
                <c:pt idx="13">
                  <c:v>-6.5299999999999997E-2</c:v>
                </c:pt>
                <c:pt idx="20">
                  <c:v>0.92689999999999995</c:v>
                </c:pt>
                <c:pt idx="21">
                  <c:v>2.0590000000000001E-2</c:v>
                </c:pt>
                <c:pt idx="22">
                  <c:v>-0.25319999999999998</c:v>
                </c:pt>
                <c:pt idx="23">
                  <c:v>-0.28039999999999998</c:v>
                </c:pt>
                <c:pt idx="24">
                  <c:v>-0.23350000000000001</c:v>
                </c:pt>
                <c:pt idx="25">
                  <c:v>-0.1467</c:v>
                </c:pt>
                <c:pt idx="26">
                  <c:v>-2.036E-2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3F-49A6-9B52-16B946690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8572160"/>
        <c:axId val="1621854239"/>
      </c:scatterChart>
      <c:valAx>
        <c:axId val="86857216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21854239"/>
        <c:crosses val="autoZero"/>
        <c:crossBetween val="midCat"/>
      </c:valAx>
      <c:valAx>
        <c:axId val="162185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68572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251377952755907"/>
          <c:y val="0.19060112277631966"/>
          <c:w val="0.12581955380577428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Section</a:t>
            </a:r>
            <a:r>
              <a:rPr lang="en-US" altLang="ko-KR" baseline="0"/>
              <a:t> (68%)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0539370078740152E-2"/>
          <c:y val="0.17171296296296296"/>
          <c:w val="0.88697462817147854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v>su2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'0.68'!$H$2:$H$80</c:f>
              <c:numCache>
                <c:formatCode>General</c:formatCode>
                <c:ptCount val="79"/>
                <c:pt idx="0">
                  <c:v>5.9672738948427818E-4</c:v>
                </c:pt>
                <c:pt idx="1">
                  <c:v>2.2560536024765813E-3</c:v>
                </c:pt>
                <c:pt idx="2">
                  <c:v>5.1603288361695534E-3</c:v>
                </c:pt>
                <c:pt idx="3">
                  <c:v>9.2810798039583836E-3</c:v>
                </c:pt>
                <c:pt idx="4">
                  <c:v>1.4922425439367035E-2</c:v>
                </c:pt>
                <c:pt idx="5">
                  <c:v>2.2237031023766122E-2</c:v>
                </c:pt>
                <c:pt idx="6">
                  <c:v>3.1422997934172185E-2</c:v>
                </c:pt>
                <c:pt idx="7">
                  <c:v>4.2729315974725422E-2</c:v>
                </c:pt>
                <c:pt idx="8">
                  <c:v>5.6451622674429172E-2</c:v>
                </c:pt>
                <c:pt idx="9">
                  <c:v>7.2921298624195011E-2</c:v>
                </c:pt>
                <c:pt idx="10">
                  <c:v>9.248971629701877E-2</c:v>
                </c:pt>
                <c:pt idx="11">
                  <c:v>0.11550824816589626</c:v>
                </c:pt>
                <c:pt idx="12">
                  <c:v>0.14230161086104429</c:v>
                </c:pt>
                <c:pt idx="13">
                  <c:v>0.17313030466416665</c:v>
                </c:pt>
                <c:pt idx="14">
                  <c:v>0.20815583974991972</c:v>
                </c:pt>
                <c:pt idx="15">
                  <c:v>0.2473920044587955</c:v>
                </c:pt>
                <c:pt idx="16">
                  <c:v>0.29066881932790922</c:v>
                </c:pt>
                <c:pt idx="17">
                  <c:v>0.33760230694202953</c:v>
                </c:pt>
                <c:pt idx="18">
                  <c:v>0.38758322378185822</c:v>
                </c:pt>
                <c:pt idx="19">
                  <c:v>0.43979475001060175</c:v>
                </c:pt>
                <c:pt idx="20">
                  <c:v>0.49325061944543724</c:v>
                </c:pt>
                <c:pt idx="21">
                  <c:v>0.54686763556616391</c:v>
                </c:pt>
                <c:pt idx="22">
                  <c:v>0.59954685067275715</c:v>
                </c:pt>
                <c:pt idx="23">
                  <c:v>0.6502632264474425</c:v>
                </c:pt>
                <c:pt idx="24">
                  <c:v>0.69813954333694794</c:v>
                </c:pt>
                <c:pt idx="25">
                  <c:v>0.74250031805266947</c:v>
                </c:pt>
                <c:pt idx="26">
                  <c:v>0.78289967104266733</c:v>
                </c:pt>
                <c:pt idx="27">
                  <c:v>0.81911345090175502</c:v>
                </c:pt>
                <c:pt idx="28">
                  <c:v>0.85111681923097871</c:v>
                </c:pt>
                <c:pt idx="29">
                  <c:v>0.87904911339032021</c:v>
                </c:pt>
                <c:pt idx="30">
                  <c:v>0.9031544766670504</c:v>
                </c:pt>
                <c:pt idx="31">
                  <c:v>0.9237703477981668</c:v>
                </c:pt>
                <c:pt idx="32">
                  <c:v>0.94125415740275153</c:v>
                </c:pt>
                <c:pt idx="33">
                  <c:v>0.95597545239205883</c:v>
                </c:pt>
                <c:pt idx="34">
                  <c:v>0.96830983782342916</c:v>
                </c:pt>
                <c:pt idx="35">
                  <c:v>0.97858445358551371</c:v>
                </c:pt>
                <c:pt idx="36">
                  <c:v>0.98712038142087744</c:v>
                </c:pt>
                <c:pt idx="37">
                  <c:v>0.99417206346513831</c:v>
                </c:pt>
                <c:pt idx="38">
                  <c:v>1</c:v>
                </c:pt>
                <c:pt idx="40">
                  <c:v>0</c:v>
                </c:pt>
                <c:pt idx="41">
                  <c:v>1.3206758467775129E-4</c:v>
                </c:pt>
                <c:pt idx="42">
                  <c:v>8.3784160371243744E-4</c:v>
                </c:pt>
                <c:pt idx="43">
                  <c:v>2.4141712153247044E-3</c:v>
                </c:pt>
                <c:pt idx="44">
                  <c:v>5.2287858869428687E-3</c:v>
                </c:pt>
                <c:pt idx="45">
                  <c:v>9.6900046647725082E-3</c:v>
                </c:pt>
                <c:pt idx="46">
                  <c:v>1.5808732211768557E-2</c:v>
                </c:pt>
                <c:pt idx="47">
                  <c:v>2.3788522236425195E-2</c:v>
                </c:pt>
                <c:pt idx="48">
                  <c:v>3.3885634318185934E-2</c:v>
                </c:pt>
                <c:pt idx="49">
                  <c:v>4.6402975761357518E-2</c:v>
                </c:pt>
                <c:pt idx="50">
                  <c:v>6.1685255078240943E-2</c:v>
                </c:pt>
                <c:pt idx="51">
                  <c:v>8.0103230809307716E-2</c:v>
                </c:pt>
                <c:pt idx="52">
                  <c:v>0.10203371964111542</c:v>
                </c:pt>
                <c:pt idx="53">
                  <c:v>0.12783354637813735</c:v>
                </c:pt>
                <c:pt idx="54">
                  <c:v>0.15780380088085444</c:v>
                </c:pt>
                <c:pt idx="55">
                  <c:v>0.19214446255156997</c:v>
                </c:pt>
                <c:pt idx="56">
                  <c:v>0.23091047877528517</c:v>
                </c:pt>
                <c:pt idx="57">
                  <c:v>0.27396529893921856</c:v>
                </c:pt>
                <c:pt idx="58">
                  <c:v>0.32094664590741939</c:v>
                </c:pt>
                <c:pt idx="59">
                  <c:v>0.37125227937746486</c:v>
                </c:pt>
                <c:pt idx="60">
                  <c:v>0.42405205159117204</c:v>
                </c:pt>
                <c:pt idx="61">
                  <c:v>0.47833182889372183</c:v>
                </c:pt>
                <c:pt idx="62">
                  <c:v>0.53296419029848474</c:v>
                </c:pt>
                <c:pt idx="63">
                  <c:v>0.58679929967831246</c:v>
                </c:pt>
                <c:pt idx="64">
                  <c:v>0.63875759540065535</c:v>
                </c:pt>
                <c:pt idx="65">
                  <c:v>0.6879109694851181</c:v>
                </c:pt>
                <c:pt idx="66">
                  <c:v>0.73354092580588481</c:v>
                </c:pt>
                <c:pt idx="67">
                  <c:v>0.77516341849067349</c:v>
                </c:pt>
                <c:pt idx="68">
                  <c:v>0.81252824610612651</c:v>
                </c:pt>
                <c:pt idx="69">
                  <c:v>0.84559360744424983</c:v>
                </c:pt>
                <c:pt idx="70">
                  <c:v>0.87448127124137465</c:v>
                </c:pt>
                <c:pt idx="71">
                  <c:v>0.8994468912623359</c:v>
                </c:pt>
                <c:pt idx="72">
                  <c:v>0.92081397250813313</c:v>
                </c:pt>
                <c:pt idx="73">
                  <c:v>0.93895206189002045</c:v>
                </c:pt>
                <c:pt idx="74">
                  <c:v>0.95423676446533834</c:v>
                </c:pt>
                <c:pt idx="75">
                  <c:v>0.96704368529142715</c:v>
                </c:pt>
                <c:pt idx="76">
                  <c:v>0.97773025498736865</c:v>
                </c:pt>
                <c:pt idx="77">
                  <c:v>0.9865993808574699</c:v>
                </c:pt>
                <c:pt idx="78">
                  <c:v>0.99394185391386525</c:v>
                </c:pt>
              </c:numCache>
            </c:numRef>
          </c:xVal>
          <c:yVal>
            <c:numRef>
              <c:f>'0.68'!$Y:$Y</c:f>
              <c:numCache>
                <c:formatCode>General</c:formatCode>
                <c:ptCount val="1048576"/>
                <c:pt idx="0">
                  <c:v>0</c:v>
                </c:pt>
                <c:pt idx="1">
                  <c:v>0.40208199999999999</c:v>
                </c:pt>
                <c:pt idx="2">
                  <c:v>0.40171099999999998</c:v>
                </c:pt>
                <c:pt idx="3">
                  <c:v>0.29749799999999998</c:v>
                </c:pt>
                <c:pt idx="4">
                  <c:v>0.58562099999999995</c:v>
                </c:pt>
                <c:pt idx="5">
                  <c:v>-5.6139399999999999E-2</c:v>
                </c:pt>
                <c:pt idx="6">
                  <c:v>0.291574</c:v>
                </c:pt>
                <c:pt idx="7">
                  <c:v>0.113705</c:v>
                </c:pt>
                <c:pt idx="8">
                  <c:v>0.24893299999999999</c:v>
                </c:pt>
                <c:pt idx="9">
                  <c:v>7.1923399999999998E-2</c:v>
                </c:pt>
                <c:pt idx="10">
                  <c:v>9.0053400000000006E-2</c:v>
                </c:pt>
                <c:pt idx="11">
                  <c:v>7.7559699999999995E-2</c:v>
                </c:pt>
                <c:pt idx="12">
                  <c:v>3.5727099999999998E-2</c:v>
                </c:pt>
                <c:pt idx="13">
                  <c:v>3.2198499999999998E-2</c:v>
                </c:pt>
                <c:pt idx="14">
                  <c:v>1.1745E-2</c:v>
                </c:pt>
                <c:pt idx="15">
                  <c:v>-5.21939E-3</c:v>
                </c:pt>
                <c:pt idx="16">
                  <c:v>0.52995099999999995</c:v>
                </c:pt>
                <c:pt idx="17">
                  <c:v>-6.8403500000000006E-2</c:v>
                </c:pt>
                <c:pt idx="18">
                  <c:v>-8.3770200000000003E-2</c:v>
                </c:pt>
                <c:pt idx="19">
                  <c:v>-4.7994700000000001E-3</c:v>
                </c:pt>
                <c:pt idx="20">
                  <c:v>4.8536299999999998E-2</c:v>
                </c:pt>
                <c:pt idx="21">
                  <c:v>0.16278200000000001</c:v>
                </c:pt>
                <c:pt idx="22">
                  <c:v>0.176312</c:v>
                </c:pt>
                <c:pt idx="23">
                  <c:v>-9.2202400000000004E-2</c:v>
                </c:pt>
                <c:pt idx="24">
                  <c:v>-7.6756199999999997E-2</c:v>
                </c:pt>
                <c:pt idx="25">
                  <c:v>-0.107098</c:v>
                </c:pt>
                <c:pt idx="26">
                  <c:v>-0.121013</c:v>
                </c:pt>
                <c:pt idx="27">
                  <c:v>-0.10088800000000001</c:v>
                </c:pt>
                <c:pt idx="28">
                  <c:v>-0.12086</c:v>
                </c:pt>
                <c:pt idx="29">
                  <c:v>-7.78808E-2</c:v>
                </c:pt>
                <c:pt idx="30">
                  <c:v>-5.7975600000000002E-2</c:v>
                </c:pt>
                <c:pt idx="31">
                  <c:v>-3.4740699999999999E-2</c:v>
                </c:pt>
                <c:pt idx="32">
                  <c:v>-0.13586400000000001</c:v>
                </c:pt>
                <c:pt idx="33">
                  <c:v>2.2970899999999999E-2</c:v>
                </c:pt>
                <c:pt idx="34">
                  <c:v>4.3562599999999998E-3</c:v>
                </c:pt>
                <c:pt idx="35">
                  <c:v>3.6688800000000001E-2</c:v>
                </c:pt>
                <c:pt idx="36">
                  <c:v>6.6259299999999993E-2</c:v>
                </c:pt>
                <c:pt idx="37">
                  <c:v>7.4825799999999998E-2</c:v>
                </c:pt>
                <c:pt idx="38">
                  <c:v>-0.35944300000000001</c:v>
                </c:pt>
                <c:pt idx="39">
                  <c:v>-0.36183799999999999</c:v>
                </c:pt>
                <c:pt idx="40">
                  <c:v>-0.329123</c:v>
                </c:pt>
                <c:pt idx="41">
                  <c:v>9.0466599999999994E-2</c:v>
                </c:pt>
                <c:pt idx="42">
                  <c:v>0.32005699999999998</c:v>
                </c:pt>
                <c:pt idx="43">
                  <c:v>5.5335000000000002E-2</c:v>
                </c:pt>
                <c:pt idx="44">
                  <c:v>-8.4894399999999995E-2</c:v>
                </c:pt>
                <c:pt idx="45">
                  <c:v>-0.26073000000000002</c:v>
                </c:pt>
                <c:pt idx="46">
                  <c:v>0.11164</c:v>
                </c:pt>
                <c:pt idx="47">
                  <c:v>-0.309668</c:v>
                </c:pt>
                <c:pt idx="48">
                  <c:v>-0.28371099999999999</c:v>
                </c:pt>
                <c:pt idx="49">
                  <c:v>-0.25750200000000001</c:v>
                </c:pt>
                <c:pt idx="50">
                  <c:v>-0.22805900000000001</c:v>
                </c:pt>
                <c:pt idx="51">
                  <c:v>-0.200651</c:v>
                </c:pt>
                <c:pt idx="52">
                  <c:v>-0.13548199999999999</c:v>
                </c:pt>
                <c:pt idx="53">
                  <c:v>-0.14930099999999999</c:v>
                </c:pt>
                <c:pt idx="54">
                  <c:v>-0.15213599999999999</c:v>
                </c:pt>
                <c:pt idx="55">
                  <c:v>-0.16836699999999999</c:v>
                </c:pt>
                <c:pt idx="56">
                  <c:v>-6.1420299999999997E-2</c:v>
                </c:pt>
                <c:pt idx="57">
                  <c:v>-4.7297800000000001E-2</c:v>
                </c:pt>
                <c:pt idx="58">
                  <c:v>0.35024699999999998</c:v>
                </c:pt>
                <c:pt idx="59">
                  <c:v>0.40376699999999999</c:v>
                </c:pt>
                <c:pt idx="60">
                  <c:v>0.440056</c:v>
                </c:pt>
                <c:pt idx="61">
                  <c:v>-0.33081899999999997</c:v>
                </c:pt>
                <c:pt idx="62">
                  <c:v>-0.354072</c:v>
                </c:pt>
                <c:pt idx="63">
                  <c:v>-0.39547700000000002</c:v>
                </c:pt>
                <c:pt idx="64">
                  <c:v>-0.39391199999999998</c:v>
                </c:pt>
                <c:pt idx="65">
                  <c:v>-0.39511600000000002</c:v>
                </c:pt>
                <c:pt idx="66">
                  <c:v>-0.16674</c:v>
                </c:pt>
                <c:pt idx="67">
                  <c:v>-0.16020999999999999</c:v>
                </c:pt>
                <c:pt idx="68">
                  <c:v>-0.13847699999999999</c:v>
                </c:pt>
                <c:pt idx="69">
                  <c:v>-0.17282800000000001</c:v>
                </c:pt>
                <c:pt idx="70">
                  <c:v>-0.14832000000000001</c:v>
                </c:pt>
                <c:pt idx="71">
                  <c:v>0.23211499999999999</c:v>
                </c:pt>
                <c:pt idx="72">
                  <c:v>0.13378399999999999</c:v>
                </c:pt>
                <c:pt idx="73">
                  <c:v>0.31934299999999999</c:v>
                </c:pt>
                <c:pt idx="74">
                  <c:v>-0.16566400000000001</c:v>
                </c:pt>
                <c:pt idx="75">
                  <c:v>-0.39310899999999999</c:v>
                </c:pt>
                <c:pt idx="76">
                  <c:v>-1.8074099999999999E-2</c:v>
                </c:pt>
                <c:pt idx="77">
                  <c:v>-1.6416199999999999E-2</c:v>
                </c:pt>
                <c:pt idx="78">
                  <c:v>-3.3444000000000002E-2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31-4374-97F8-C15D32395B4A}"/>
            </c:ext>
          </c:extLst>
        </c:ser>
        <c:ser>
          <c:idx val="1"/>
          <c:order val="1"/>
          <c:tx>
            <c:v>Exp.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NASA_Exp.data!$D$4:$D$30</c:f>
              <c:numCache>
                <c:formatCode>General</c:formatCode>
                <c:ptCount val="27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0.15</c:v>
                </c:pt>
                <c:pt idx="4">
                  <c:v>0.19</c:v>
                </c:pt>
                <c:pt idx="5">
                  <c:v>0.23</c:v>
                </c:pt>
                <c:pt idx="6">
                  <c:v>0.28999999999999998</c:v>
                </c:pt>
                <c:pt idx="7">
                  <c:v>0.33</c:v>
                </c:pt>
                <c:pt idx="8">
                  <c:v>0.34</c:v>
                </c:pt>
                <c:pt idx="9">
                  <c:v>0.44</c:v>
                </c:pt>
                <c:pt idx="10">
                  <c:v>0.52</c:v>
                </c:pt>
                <c:pt idx="11">
                  <c:v>0.61</c:v>
                </c:pt>
                <c:pt idx="12">
                  <c:v>0.73</c:v>
                </c:pt>
                <c:pt idx="13">
                  <c:v>0.8</c:v>
                </c:pt>
                <c:pt idx="20">
                  <c:v>0</c:v>
                </c:pt>
                <c:pt idx="21">
                  <c:v>7.0000000000000007E-2</c:v>
                </c:pt>
                <c:pt idx="22">
                  <c:v>0.18</c:v>
                </c:pt>
                <c:pt idx="23">
                  <c:v>0.28000000000000003</c:v>
                </c:pt>
                <c:pt idx="24">
                  <c:v>0.38</c:v>
                </c:pt>
                <c:pt idx="25">
                  <c:v>0.51</c:v>
                </c:pt>
                <c:pt idx="26">
                  <c:v>0.79</c:v>
                </c:pt>
              </c:numCache>
            </c:numRef>
          </c:xVal>
          <c:yVal>
            <c:numRef>
              <c:f>NASA_Exp.data!$E$4:$E$30</c:f>
              <c:numCache>
                <c:formatCode>General</c:formatCode>
                <c:ptCount val="27"/>
                <c:pt idx="0">
                  <c:v>-0.94159999999999999</c:v>
                </c:pt>
                <c:pt idx="1">
                  <c:v>-0.93979999999999997</c:v>
                </c:pt>
                <c:pt idx="2">
                  <c:v>-0.91080000000000005</c:v>
                </c:pt>
                <c:pt idx="3">
                  <c:v>-0.87250000000000005</c:v>
                </c:pt>
                <c:pt idx="4">
                  <c:v>-0.72540000000000004</c:v>
                </c:pt>
                <c:pt idx="5">
                  <c:v>-0.64880000000000004</c:v>
                </c:pt>
                <c:pt idx="6">
                  <c:v>-0.58340000000000003</c:v>
                </c:pt>
                <c:pt idx="7">
                  <c:v>-0.53069999999999995</c:v>
                </c:pt>
                <c:pt idx="8">
                  <c:v>-0.41830000000000001</c:v>
                </c:pt>
                <c:pt idx="9">
                  <c:v>-0.39369999999999999</c:v>
                </c:pt>
                <c:pt idx="10">
                  <c:v>-0.32350000000000001</c:v>
                </c:pt>
                <c:pt idx="11">
                  <c:v>-0.2215</c:v>
                </c:pt>
                <c:pt idx="12">
                  <c:v>-0.1338</c:v>
                </c:pt>
                <c:pt idx="13">
                  <c:v>-6.5299999999999997E-2</c:v>
                </c:pt>
                <c:pt idx="20">
                  <c:v>0.92689999999999995</c:v>
                </c:pt>
                <c:pt idx="21">
                  <c:v>2.0590000000000001E-2</c:v>
                </c:pt>
                <c:pt idx="22">
                  <c:v>-0.25319999999999998</c:v>
                </c:pt>
                <c:pt idx="23">
                  <c:v>-0.28039999999999998</c:v>
                </c:pt>
                <c:pt idx="24">
                  <c:v>-0.23350000000000001</c:v>
                </c:pt>
                <c:pt idx="25">
                  <c:v>-0.1467</c:v>
                </c:pt>
                <c:pt idx="26">
                  <c:v>-2.036E-2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31-4374-97F8-C15D32395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8572160"/>
        <c:axId val="1621854239"/>
      </c:scatterChart>
      <c:valAx>
        <c:axId val="86857216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21854239"/>
        <c:crosses val="autoZero"/>
        <c:crossBetween val="midCat"/>
      </c:valAx>
      <c:valAx>
        <c:axId val="162185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68572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251377952755907"/>
          <c:y val="0.19060112277631966"/>
          <c:w val="0.12581955380577428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Section</a:t>
            </a:r>
            <a:r>
              <a:rPr lang="en-US" altLang="ko-KR" baseline="0"/>
              <a:t> (80%)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0539370078740152E-2"/>
          <c:y val="0.17171296296296296"/>
          <c:w val="0.88059951881014875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v>su2</c:v>
          </c:tx>
          <c:spPr>
            <a:ln w="317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'0.8'!$H$2:$H$80</c:f>
              <c:numCache>
                <c:formatCode>General</c:formatCode>
                <c:ptCount val="79"/>
                <c:pt idx="0">
                  <c:v>5.9672738948427818E-4</c:v>
                </c:pt>
                <c:pt idx="1">
                  <c:v>2.2560536024765813E-3</c:v>
                </c:pt>
                <c:pt idx="2">
                  <c:v>5.1603288361695534E-3</c:v>
                </c:pt>
                <c:pt idx="3">
                  <c:v>9.2810798039583836E-3</c:v>
                </c:pt>
                <c:pt idx="4">
                  <c:v>1.4922425439367035E-2</c:v>
                </c:pt>
                <c:pt idx="5">
                  <c:v>2.2237031023766122E-2</c:v>
                </c:pt>
                <c:pt idx="6">
                  <c:v>3.1422997934172185E-2</c:v>
                </c:pt>
                <c:pt idx="7">
                  <c:v>4.2729315974725422E-2</c:v>
                </c:pt>
                <c:pt idx="8">
                  <c:v>5.6451622674429172E-2</c:v>
                </c:pt>
                <c:pt idx="9">
                  <c:v>7.2921298624195011E-2</c:v>
                </c:pt>
                <c:pt idx="10">
                  <c:v>9.248971629701877E-2</c:v>
                </c:pt>
                <c:pt idx="11">
                  <c:v>0.11550824816589626</c:v>
                </c:pt>
                <c:pt idx="12">
                  <c:v>0.14230161086104429</c:v>
                </c:pt>
                <c:pt idx="13">
                  <c:v>0.17313030466416665</c:v>
                </c:pt>
                <c:pt idx="14">
                  <c:v>0.20815583974991972</c:v>
                </c:pt>
                <c:pt idx="15">
                  <c:v>0.2473920044587955</c:v>
                </c:pt>
                <c:pt idx="16">
                  <c:v>0.29066881932790922</c:v>
                </c:pt>
                <c:pt idx="17">
                  <c:v>0.33760230694202953</c:v>
                </c:pt>
                <c:pt idx="18">
                  <c:v>0.38758322378185822</c:v>
                </c:pt>
                <c:pt idx="19">
                  <c:v>0.43979475001060175</c:v>
                </c:pt>
                <c:pt idx="20">
                  <c:v>0.49325061944543724</c:v>
                </c:pt>
                <c:pt idx="21">
                  <c:v>0.54686763556616391</c:v>
                </c:pt>
                <c:pt idx="22">
                  <c:v>0.59954685067275715</c:v>
                </c:pt>
                <c:pt idx="23">
                  <c:v>0.6502632264474425</c:v>
                </c:pt>
                <c:pt idx="24">
                  <c:v>0.69813954333694794</c:v>
                </c:pt>
                <c:pt idx="25">
                  <c:v>0.74250031805266947</c:v>
                </c:pt>
                <c:pt idx="26">
                  <c:v>0.78289967104266733</c:v>
                </c:pt>
                <c:pt idx="27">
                  <c:v>0.81911345090175502</c:v>
                </c:pt>
                <c:pt idx="28">
                  <c:v>0.85111681923097871</c:v>
                </c:pt>
                <c:pt idx="29">
                  <c:v>0.87904911339032021</c:v>
                </c:pt>
                <c:pt idx="30">
                  <c:v>0.9031544766670504</c:v>
                </c:pt>
                <c:pt idx="31">
                  <c:v>0.9237703477981668</c:v>
                </c:pt>
                <c:pt idx="32">
                  <c:v>0.94125415740275153</c:v>
                </c:pt>
                <c:pt idx="33">
                  <c:v>0.95597545239205883</c:v>
                </c:pt>
                <c:pt idx="34">
                  <c:v>0.96830983782342916</c:v>
                </c:pt>
                <c:pt idx="35">
                  <c:v>0.97858445358551371</c:v>
                </c:pt>
                <c:pt idx="36">
                  <c:v>0.98712038142087744</c:v>
                </c:pt>
                <c:pt idx="37">
                  <c:v>0.99417206346513831</c:v>
                </c:pt>
                <c:pt idx="38">
                  <c:v>1</c:v>
                </c:pt>
                <c:pt idx="40">
                  <c:v>0</c:v>
                </c:pt>
                <c:pt idx="41">
                  <c:v>1.3206758467775129E-4</c:v>
                </c:pt>
                <c:pt idx="42">
                  <c:v>8.3784160371243744E-4</c:v>
                </c:pt>
                <c:pt idx="43">
                  <c:v>2.4141712153247044E-3</c:v>
                </c:pt>
                <c:pt idx="44">
                  <c:v>5.2287858869428687E-3</c:v>
                </c:pt>
                <c:pt idx="45">
                  <c:v>9.6900046647725082E-3</c:v>
                </c:pt>
                <c:pt idx="46">
                  <c:v>1.5808732211768557E-2</c:v>
                </c:pt>
                <c:pt idx="47">
                  <c:v>2.3788522236425195E-2</c:v>
                </c:pt>
                <c:pt idx="48">
                  <c:v>3.3885634318185934E-2</c:v>
                </c:pt>
                <c:pt idx="49">
                  <c:v>4.6402975761357518E-2</c:v>
                </c:pt>
                <c:pt idx="50">
                  <c:v>6.1685255078240943E-2</c:v>
                </c:pt>
                <c:pt idx="51">
                  <c:v>8.0103230809307716E-2</c:v>
                </c:pt>
                <c:pt idx="52">
                  <c:v>0.10203371964111542</c:v>
                </c:pt>
                <c:pt idx="53">
                  <c:v>0.12783354637813735</c:v>
                </c:pt>
                <c:pt idx="54">
                  <c:v>0.15780380088085444</c:v>
                </c:pt>
                <c:pt idx="55">
                  <c:v>0.19214446255156997</c:v>
                </c:pt>
                <c:pt idx="56">
                  <c:v>0.23091047877528517</c:v>
                </c:pt>
                <c:pt idx="57">
                  <c:v>0.27396529893921856</c:v>
                </c:pt>
                <c:pt idx="58">
                  <c:v>0.32094664590741939</c:v>
                </c:pt>
                <c:pt idx="59">
                  <c:v>0.37125227937746486</c:v>
                </c:pt>
                <c:pt idx="60">
                  <c:v>0.42405205159117204</c:v>
                </c:pt>
                <c:pt idx="61">
                  <c:v>0.47833182889372183</c:v>
                </c:pt>
                <c:pt idx="62">
                  <c:v>0.53296419029848474</c:v>
                </c:pt>
                <c:pt idx="63">
                  <c:v>0.58679929967831246</c:v>
                </c:pt>
                <c:pt idx="64">
                  <c:v>0.63875759540065535</c:v>
                </c:pt>
                <c:pt idx="65">
                  <c:v>0.6879109694851181</c:v>
                </c:pt>
                <c:pt idx="66">
                  <c:v>0.73354092580588481</c:v>
                </c:pt>
                <c:pt idx="67">
                  <c:v>0.77516341849067349</c:v>
                </c:pt>
                <c:pt idx="68">
                  <c:v>0.81252824610612651</c:v>
                </c:pt>
                <c:pt idx="69">
                  <c:v>0.84559360744424983</c:v>
                </c:pt>
                <c:pt idx="70">
                  <c:v>0.87448127124137465</c:v>
                </c:pt>
                <c:pt idx="71">
                  <c:v>0.8994468912623359</c:v>
                </c:pt>
                <c:pt idx="72">
                  <c:v>0.92081397250813313</c:v>
                </c:pt>
                <c:pt idx="73">
                  <c:v>0.93895206189002045</c:v>
                </c:pt>
                <c:pt idx="74">
                  <c:v>0.95423676446533834</c:v>
                </c:pt>
                <c:pt idx="75">
                  <c:v>0.96704368529142715</c:v>
                </c:pt>
                <c:pt idx="76">
                  <c:v>0.97773025498736865</c:v>
                </c:pt>
                <c:pt idx="77">
                  <c:v>0.9865993808574699</c:v>
                </c:pt>
                <c:pt idx="78">
                  <c:v>0.99394185391386525</c:v>
                </c:pt>
              </c:numCache>
            </c:numRef>
          </c:xVal>
          <c:yVal>
            <c:numRef>
              <c:f>'0.8'!$I$2:$I$80</c:f>
              <c:numCache>
                <c:formatCode>General</c:formatCode>
                <c:ptCount val="79"/>
                <c:pt idx="0">
                  <c:v>0.77590100300650444</c:v>
                </c:pt>
                <c:pt idx="1">
                  <c:v>0.84435509462608382</c:v>
                </c:pt>
                <c:pt idx="2">
                  <c:v>0.3734363340434339</c:v>
                </c:pt>
                <c:pt idx="3">
                  <c:v>9.848522356371249E-2</c:v>
                </c:pt>
                <c:pt idx="4">
                  <c:v>-0.17418320421551026</c:v>
                </c:pt>
                <c:pt idx="5">
                  <c:v>-0.36882610667028809</c:v>
                </c:pt>
                <c:pt idx="6">
                  <c:v>-0.51171940478196831</c:v>
                </c:pt>
                <c:pt idx="7">
                  <c:v>-0.65246460610959522</c:v>
                </c:pt>
                <c:pt idx="8">
                  <c:v>-0.81658553386614408</c:v>
                </c:pt>
                <c:pt idx="9">
                  <c:v>-0.81452979996592634</c:v>
                </c:pt>
                <c:pt idx="10">
                  <c:v>-0.83273848277915297</c:v>
                </c:pt>
                <c:pt idx="11">
                  <c:v>-0.83263292519762699</c:v>
                </c:pt>
                <c:pt idx="12">
                  <c:v>-0.7942706611315582</c:v>
                </c:pt>
                <c:pt idx="13">
                  <c:v>-0.77862702754941215</c:v>
                </c:pt>
                <c:pt idx="14">
                  <c:v>-0.69672490004342646</c:v>
                </c:pt>
                <c:pt idx="15">
                  <c:v>-0.62781691082328561</c:v>
                </c:pt>
                <c:pt idx="16">
                  <c:v>-0.5514380837706454</c:v>
                </c:pt>
                <c:pt idx="17">
                  <c:v>-0.4899613482899316</c:v>
                </c:pt>
                <c:pt idx="18">
                  <c:v>-0.42650276921606761</c:v>
                </c:pt>
                <c:pt idx="19">
                  <c:v>-0.36839595952556975</c:v>
                </c:pt>
                <c:pt idx="20">
                  <c:v>-0.31189890295334266</c:v>
                </c:pt>
                <c:pt idx="21">
                  <c:v>-0.2602997181639195</c:v>
                </c:pt>
                <c:pt idx="22">
                  <c:v>-0.2129333923936868</c:v>
                </c:pt>
                <c:pt idx="23">
                  <c:v>-0.1684303160223459</c:v>
                </c:pt>
                <c:pt idx="24">
                  <c:v>-0.13274921452703609</c:v>
                </c:pt>
                <c:pt idx="25">
                  <c:v>-8.7567930694391061E-2</c:v>
                </c:pt>
                <c:pt idx="26">
                  <c:v>-4.8208147482901996E-2</c:v>
                </c:pt>
                <c:pt idx="27">
                  <c:v>-1.802395704555617E-2</c:v>
                </c:pt>
                <c:pt idx="28">
                  <c:v>1.6097531182707559E-2</c:v>
                </c:pt>
                <c:pt idx="29">
                  <c:v>6.8955490131827626E-2</c:v>
                </c:pt>
                <c:pt idx="30">
                  <c:v>7.4576431348084532E-2</c:v>
                </c:pt>
                <c:pt idx="31">
                  <c:v>0.16311285285297611</c:v>
                </c:pt>
                <c:pt idx="32">
                  <c:v>0.16250589675920191</c:v>
                </c:pt>
                <c:pt idx="33">
                  <c:v>0.17921038403568368</c:v>
                </c:pt>
                <c:pt idx="34">
                  <c:v>0.44255016054755048</c:v>
                </c:pt>
                <c:pt idx="35">
                  <c:v>0.25924942022773617</c:v>
                </c:pt>
                <c:pt idx="36">
                  <c:v>0.52169195729663242</c:v>
                </c:pt>
                <c:pt idx="37">
                  <c:v>1.0057526367792633</c:v>
                </c:pt>
                <c:pt idx="38">
                  <c:v>-3.3752036692922899E-2</c:v>
                </c:pt>
                <c:pt idx="39">
                  <c:v>0</c:v>
                </c:pt>
                <c:pt idx="40">
                  <c:v>0.92125379276773922</c:v>
                </c:pt>
                <c:pt idx="41">
                  <c:v>0.61049227275533891</c:v>
                </c:pt>
                <c:pt idx="42">
                  <c:v>0.69169244234417682</c:v>
                </c:pt>
                <c:pt idx="43">
                  <c:v>0.49261084358623286</c:v>
                </c:pt>
                <c:pt idx="44">
                  <c:v>0.60859223628787174</c:v>
                </c:pt>
                <c:pt idx="45">
                  <c:v>0.5034041062972614</c:v>
                </c:pt>
                <c:pt idx="46">
                  <c:v>0.31231849433990816</c:v>
                </c:pt>
                <c:pt idx="47">
                  <c:v>0.13659151049458088</c:v>
                </c:pt>
                <c:pt idx="48">
                  <c:v>3.9293809723035339E-2</c:v>
                </c:pt>
                <c:pt idx="49">
                  <c:v>-7.1860962563329592E-2</c:v>
                </c:pt>
                <c:pt idx="50">
                  <c:v>-0.15597716034182196</c:v>
                </c:pt>
                <c:pt idx="51">
                  <c:v>-0.23189417297528578</c:v>
                </c:pt>
                <c:pt idx="52">
                  <c:v>-0.23171472508669197</c:v>
                </c:pt>
                <c:pt idx="53">
                  <c:v>-0.26681789882314699</c:v>
                </c:pt>
                <c:pt idx="54">
                  <c:v>-0.30825716639069733</c:v>
                </c:pt>
                <c:pt idx="55">
                  <c:v>-0.30450987224652609</c:v>
                </c:pt>
                <c:pt idx="56">
                  <c:v>-0.31036304014213978</c:v>
                </c:pt>
                <c:pt idx="57">
                  <c:v>-0.3080275786508781</c:v>
                </c:pt>
                <c:pt idx="58">
                  <c:v>-0.28723537402980398</c:v>
                </c:pt>
                <c:pt idx="59">
                  <c:v>-0.26437951868989729</c:v>
                </c:pt>
                <c:pt idx="60">
                  <c:v>-0.23383643247536343</c:v>
                </c:pt>
                <c:pt idx="61">
                  <c:v>-0.20749453800556239</c:v>
                </c:pt>
                <c:pt idx="62">
                  <c:v>-0.17726548559606811</c:v>
                </c:pt>
                <c:pt idx="63">
                  <c:v>-0.14595446797593284</c:v>
                </c:pt>
                <c:pt idx="64">
                  <c:v>-0.11356412408469446</c:v>
                </c:pt>
                <c:pt idx="65">
                  <c:v>-8.468620871873267E-2</c:v>
                </c:pt>
                <c:pt idx="66">
                  <c:v>-5.7895694527445939E-2</c:v>
                </c:pt>
                <c:pt idx="67">
                  <c:v>-2.6072722636909951E-2</c:v>
                </c:pt>
                <c:pt idx="68">
                  <c:v>1.9264258628486097E-3</c:v>
                </c:pt>
                <c:pt idx="69">
                  <c:v>2.6600510544539706E-2</c:v>
                </c:pt>
                <c:pt idx="70">
                  <c:v>7.4998661674188338E-2</c:v>
                </c:pt>
                <c:pt idx="71">
                  <c:v>8.7454456294250582E-2</c:v>
                </c:pt>
                <c:pt idx="72">
                  <c:v>0.15912805415037146</c:v>
                </c:pt>
                <c:pt idx="73">
                  <c:v>0.19514957884610232</c:v>
                </c:pt>
                <c:pt idx="74">
                  <c:v>0.1830368463659994</c:v>
                </c:pt>
                <c:pt idx="75">
                  <c:v>0.46078523275615857</c:v>
                </c:pt>
                <c:pt idx="76">
                  <c:v>0.25114787584561943</c:v>
                </c:pt>
                <c:pt idx="77">
                  <c:v>0.60334074660695569</c:v>
                </c:pt>
                <c:pt idx="78">
                  <c:v>1.0321156427653695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75-4F0A-925E-096047857B72}"/>
            </c:ext>
          </c:extLst>
        </c:ser>
        <c:ser>
          <c:idx val="1"/>
          <c:order val="1"/>
          <c:tx>
            <c:v>Exp.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NASA_Exp.data!$F$4:$F$32</c:f>
              <c:numCache>
                <c:formatCode>General</c:formatCode>
                <c:ptCount val="29"/>
                <c:pt idx="0">
                  <c:v>0</c:v>
                </c:pt>
                <c:pt idx="1">
                  <c:v>0.03</c:v>
                </c:pt>
                <c:pt idx="2">
                  <c:v>0.04</c:v>
                </c:pt>
                <c:pt idx="3">
                  <c:v>7.0000000000000007E-2</c:v>
                </c:pt>
                <c:pt idx="4">
                  <c:v>0.13</c:v>
                </c:pt>
                <c:pt idx="5">
                  <c:v>0.17</c:v>
                </c:pt>
                <c:pt idx="6">
                  <c:v>0.21</c:v>
                </c:pt>
                <c:pt idx="7">
                  <c:v>0.26</c:v>
                </c:pt>
                <c:pt idx="8">
                  <c:v>0.3</c:v>
                </c:pt>
                <c:pt idx="9">
                  <c:v>0.35</c:v>
                </c:pt>
                <c:pt idx="10">
                  <c:v>0.4</c:v>
                </c:pt>
                <c:pt idx="11">
                  <c:v>0.5</c:v>
                </c:pt>
                <c:pt idx="12">
                  <c:v>0.56000000000000005</c:v>
                </c:pt>
                <c:pt idx="13">
                  <c:v>0.65</c:v>
                </c:pt>
                <c:pt idx="14">
                  <c:v>0.74</c:v>
                </c:pt>
                <c:pt idx="15">
                  <c:v>0.9</c:v>
                </c:pt>
                <c:pt idx="20">
                  <c:v>0.01</c:v>
                </c:pt>
                <c:pt idx="21">
                  <c:v>0.02</c:v>
                </c:pt>
                <c:pt idx="22">
                  <c:v>0.14000000000000001</c:v>
                </c:pt>
                <c:pt idx="23">
                  <c:v>0.21</c:v>
                </c:pt>
                <c:pt idx="24">
                  <c:v>0.34</c:v>
                </c:pt>
                <c:pt idx="25">
                  <c:v>0.37</c:v>
                </c:pt>
                <c:pt idx="26">
                  <c:v>0.47</c:v>
                </c:pt>
                <c:pt idx="27">
                  <c:v>0.74</c:v>
                </c:pt>
                <c:pt idx="28">
                  <c:v>0.99</c:v>
                </c:pt>
              </c:numCache>
            </c:numRef>
          </c:xVal>
          <c:yVal>
            <c:numRef>
              <c:f>NASA_Exp.data!$G$4:$G$32</c:f>
              <c:numCache>
                <c:formatCode>General</c:formatCode>
                <c:ptCount val="29"/>
                <c:pt idx="0">
                  <c:v>0.18529999999999999</c:v>
                </c:pt>
                <c:pt idx="1">
                  <c:v>-0.48320000000000002</c:v>
                </c:pt>
                <c:pt idx="2">
                  <c:v>-1.153</c:v>
                </c:pt>
                <c:pt idx="3">
                  <c:v>-1.1950000000000001</c:v>
                </c:pt>
                <c:pt idx="4">
                  <c:v>-1.1559999999999999</c:v>
                </c:pt>
                <c:pt idx="5">
                  <c:v>-1.17</c:v>
                </c:pt>
                <c:pt idx="6">
                  <c:v>-1.0609999999999999</c:v>
                </c:pt>
                <c:pt idx="7">
                  <c:v>-0.78390000000000004</c:v>
                </c:pt>
                <c:pt idx="8">
                  <c:v>-0.73929999999999996</c:v>
                </c:pt>
                <c:pt idx="9">
                  <c:v>-0.49280000000000002</c:v>
                </c:pt>
                <c:pt idx="10">
                  <c:v>-0.32019999999999998</c:v>
                </c:pt>
                <c:pt idx="11">
                  <c:v>-0.25840000000000002</c:v>
                </c:pt>
                <c:pt idx="12">
                  <c:v>-0.17480000000000001</c:v>
                </c:pt>
                <c:pt idx="13">
                  <c:v>-0.12759999999999999</c:v>
                </c:pt>
                <c:pt idx="14">
                  <c:v>8.0210000000000004E-2</c:v>
                </c:pt>
                <c:pt idx="15">
                  <c:v>8.0210000000000004E-2</c:v>
                </c:pt>
                <c:pt idx="20">
                  <c:v>0.51749999999999996</c:v>
                </c:pt>
                <c:pt idx="21">
                  <c:v>0.36909999999999998</c:v>
                </c:pt>
                <c:pt idx="22">
                  <c:v>-0.16009999999999999</c:v>
                </c:pt>
                <c:pt idx="23">
                  <c:v>-0.25340000000000001</c:v>
                </c:pt>
                <c:pt idx="24">
                  <c:v>-0.33019999999999999</c:v>
                </c:pt>
                <c:pt idx="25">
                  <c:v>-0.28620000000000001</c:v>
                </c:pt>
                <c:pt idx="26">
                  <c:v>-0.15340000000000001</c:v>
                </c:pt>
                <c:pt idx="27">
                  <c:v>-6.5570000000000003E-2</c:v>
                </c:pt>
                <c:pt idx="28">
                  <c:v>6.4449999999999993E-2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75-4F0A-925E-096047857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133695"/>
        <c:axId val="1119953103"/>
      </c:scatterChart>
      <c:valAx>
        <c:axId val="1544133695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953103"/>
        <c:crosses val="autoZero"/>
        <c:crossBetween val="midCat"/>
      </c:valAx>
      <c:valAx>
        <c:axId val="111995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441336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7360017497813"/>
          <c:y val="0.16745297462817149"/>
          <c:w val="0.12581955380577428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Section</a:t>
            </a:r>
            <a:r>
              <a:rPr lang="en-US" altLang="ko-KR" baseline="0"/>
              <a:t> (80%)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0539370078740152E-2"/>
          <c:y val="0.17171296296296296"/>
          <c:w val="0.88059951881014875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v>su2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'0.8'!$H$2:$H$80</c:f>
              <c:numCache>
                <c:formatCode>General</c:formatCode>
                <c:ptCount val="79"/>
                <c:pt idx="0">
                  <c:v>5.9672738948427818E-4</c:v>
                </c:pt>
                <c:pt idx="1">
                  <c:v>2.2560536024765813E-3</c:v>
                </c:pt>
                <c:pt idx="2">
                  <c:v>5.1603288361695534E-3</c:v>
                </c:pt>
                <c:pt idx="3">
                  <c:v>9.2810798039583836E-3</c:v>
                </c:pt>
                <c:pt idx="4">
                  <c:v>1.4922425439367035E-2</c:v>
                </c:pt>
                <c:pt idx="5">
                  <c:v>2.2237031023766122E-2</c:v>
                </c:pt>
                <c:pt idx="6">
                  <c:v>3.1422997934172185E-2</c:v>
                </c:pt>
                <c:pt idx="7">
                  <c:v>4.2729315974725422E-2</c:v>
                </c:pt>
                <c:pt idx="8">
                  <c:v>5.6451622674429172E-2</c:v>
                </c:pt>
                <c:pt idx="9">
                  <c:v>7.2921298624195011E-2</c:v>
                </c:pt>
                <c:pt idx="10">
                  <c:v>9.248971629701877E-2</c:v>
                </c:pt>
                <c:pt idx="11">
                  <c:v>0.11550824816589626</c:v>
                </c:pt>
                <c:pt idx="12">
                  <c:v>0.14230161086104429</c:v>
                </c:pt>
                <c:pt idx="13">
                  <c:v>0.17313030466416665</c:v>
                </c:pt>
                <c:pt idx="14">
                  <c:v>0.20815583974991972</c:v>
                </c:pt>
                <c:pt idx="15">
                  <c:v>0.2473920044587955</c:v>
                </c:pt>
                <c:pt idx="16">
                  <c:v>0.29066881932790922</c:v>
                </c:pt>
                <c:pt idx="17">
                  <c:v>0.33760230694202953</c:v>
                </c:pt>
                <c:pt idx="18">
                  <c:v>0.38758322378185822</c:v>
                </c:pt>
                <c:pt idx="19">
                  <c:v>0.43979475001060175</c:v>
                </c:pt>
                <c:pt idx="20">
                  <c:v>0.49325061944543724</c:v>
                </c:pt>
                <c:pt idx="21">
                  <c:v>0.54686763556616391</c:v>
                </c:pt>
                <c:pt idx="22">
                  <c:v>0.59954685067275715</c:v>
                </c:pt>
                <c:pt idx="23">
                  <c:v>0.6502632264474425</c:v>
                </c:pt>
                <c:pt idx="24">
                  <c:v>0.69813954333694794</c:v>
                </c:pt>
                <c:pt idx="25">
                  <c:v>0.74250031805266947</c:v>
                </c:pt>
                <c:pt idx="26">
                  <c:v>0.78289967104266733</c:v>
                </c:pt>
                <c:pt idx="27">
                  <c:v>0.81911345090175502</c:v>
                </c:pt>
                <c:pt idx="28">
                  <c:v>0.85111681923097871</c:v>
                </c:pt>
                <c:pt idx="29">
                  <c:v>0.87904911339032021</c:v>
                </c:pt>
                <c:pt idx="30">
                  <c:v>0.9031544766670504</c:v>
                </c:pt>
                <c:pt idx="31">
                  <c:v>0.9237703477981668</c:v>
                </c:pt>
                <c:pt idx="32">
                  <c:v>0.94125415740275153</c:v>
                </c:pt>
                <c:pt idx="33">
                  <c:v>0.95597545239205883</c:v>
                </c:pt>
                <c:pt idx="34">
                  <c:v>0.96830983782342916</c:v>
                </c:pt>
                <c:pt idx="35">
                  <c:v>0.97858445358551371</c:v>
                </c:pt>
                <c:pt idx="36">
                  <c:v>0.98712038142087744</c:v>
                </c:pt>
                <c:pt idx="37">
                  <c:v>0.99417206346513831</c:v>
                </c:pt>
                <c:pt idx="38">
                  <c:v>1</c:v>
                </c:pt>
                <c:pt idx="40">
                  <c:v>0</c:v>
                </c:pt>
                <c:pt idx="41">
                  <c:v>1.3206758467775129E-4</c:v>
                </c:pt>
                <c:pt idx="42">
                  <c:v>8.3784160371243744E-4</c:v>
                </c:pt>
                <c:pt idx="43">
                  <c:v>2.4141712153247044E-3</c:v>
                </c:pt>
                <c:pt idx="44">
                  <c:v>5.2287858869428687E-3</c:v>
                </c:pt>
                <c:pt idx="45">
                  <c:v>9.6900046647725082E-3</c:v>
                </c:pt>
                <c:pt idx="46">
                  <c:v>1.5808732211768557E-2</c:v>
                </c:pt>
                <c:pt idx="47">
                  <c:v>2.3788522236425195E-2</c:v>
                </c:pt>
                <c:pt idx="48">
                  <c:v>3.3885634318185934E-2</c:v>
                </c:pt>
                <c:pt idx="49">
                  <c:v>4.6402975761357518E-2</c:v>
                </c:pt>
                <c:pt idx="50">
                  <c:v>6.1685255078240943E-2</c:v>
                </c:pt>
                <c:pt idx="51">
                  <c:v>8.0103230809307716E-2</c:v>
                </c:pt>
                <c:pt idx="52">
                  <c:v>0.10203371964111542</c:v>
                </c:pt>
                <c:pt idx="53">
                  <c:v>0.12783354637813735</c:v>
                </c:pt>
                <c:pt idx="54">
                  <c:v>0.15780380088085444</c:v>
                </c:pt>
                <c:pt idx="55">
                  <c:v>0.19214446255156997</c:v>
                </c:pt>
                <c:pt idx="56">
                  <c:v>0.23091047877528517</c:v>
                </c:pt>
                <c:pt idx="57">
                  <c:v>0.27396529893921856</c:v>
                </c:pt>
                <c:pt idx="58">
                  <c:v>0.32094664590741939</c:v>
                </c:pt>
                <c:pt idx="59">
                  <c:v>0.37125227937746486</c:v>
                </c:pt>
                <c:pt idx="60">
                  <c:v>0.42405205159117204</c:v>
                </c:pt>
                <c:pt idx="61">
                  <c:v>0.47833182889372183</c:v>
                </c:pt>
                <c:pt idx="62">
                  <c:v>0.53296419029848474</c:v>
                </c:pt>
                <c:pt idx="63">
                  <c:v>0.58679929967831246</c:v>
                </c:pt>
                <c:pt idx="64">
                  <c:v>0.63875759540065535</c:v>
                </c:pt>
                <c:pt idx="65">
                  <c:v>0.6879109694851181</c:v>
                </c:pt>
                <c:pt idx="66">
                  <c:v>0.73354092580588481</c:v>
                </c:pt>
                <c:pt idx="67">
                  <c:v>0.77516341849067349</c:v>
                </c:pt>
                <c:pt idx="68">
                  <c:v>0.81252824610612651</c:v>
                </c:pt>
                <c:pt idx="69">
                  <c:v>0.84559360744424983</c:v>
                </c:pt>
                <c:pt idx="70">
                  <c:v>0.87448127124137465</c:v>
                </c:pt>
                <c:pt idx="71">
                  <c:v>0.8994468912623359</c:v>
                </c:pt>
                <c:pt idx="72">
                  <c:v>0.92081397250813313</c:v>
                </c:pt>
                <c:pt idx="73">
                  <c:v>0.93895206189002045</c:v>
                </c:pt>
                <c:pt idx="74">
                  <c:v>0.95423676446533834</c:v>
                </c:pt>
                <c:pt idx="75">
                  <c:v>0.96704368529142715</c:v>
                </c:pt>
                <c:pt idx="76">
                  <c:v>0.97773025498736865</c:v>
                </c:pt>
                <c:pt idx="77">
                  <c:v>0.9865993808574699</c:v>
                </c:pt>
                <c:pt idx="78">
                  <c:v>0.99394185391386525</c:v>
                </c:pt>
              </c:numCache>
            </c:numRef>
          </c:xVal>
          <c:yVal>
            <c:numRef>
              <c:f>'0.8'!$Y:$Y</c:f>
              <c:numCache>
                <c:formatCode>General</c:formatCode>
                <c:ptCount val="1048576"/>
                <c:pt idx="0">
                  <c:v>0</c:v>
                </c:pt>
                <c:pt idx="1">
                  <c:v>0.42406500000000003</c:v>
                </c:pt>
                <c:pt idx="2">
                  <c:v>0.63993500000000003</c:v>
                </c:pt>
                <c:pt idx="3">
                  <c:v>0.48048099999999999</c:v>
                </c:pt>
                <c:pt idx="4">
                  <c:v>0.71694199999999997</c:v>
                </c:pt>
                <c:pt idx="5">
                  <c:v>-2.34422E-2</c:v>
                </c:pt>
                <c:pt idx="6">
                  <c:v>0.41909800000000003</c:v>
                </c:pt>
                <c:pt idx="7">
                  <c:v>0.17446300000000001</c:v>
                </c:pt>
                <c:pt idx="8">
                  <c:v>0.320079</c:v>
                </c:pt>
                <c:pt idx="9">
                  <c:v>0.12714200000000001</c:v>
                </c:pt>
                <c:pt idx="10">
                  <c:v>0.13556000000000001</c:v>
                </c:pt>
                <c:pt idx="11">
                  <c:v>0.110543</c:v>
                </c:pt>
                <c:pt idx="12">
                  <c:v>6.0755499999999997E-2</c:v>
                </c:pt>
                <c:pt idx="13">
                  <c:v>5.2097499999999998E-2</c:v>
                </c:pt>
                <c:pt idx="14">
                  <c:v>1.8484E-2</c:v>
                </c:pt>
                <c:pt idx="15">
                  <c:v>1.3335599999999999E-3</c:v>
                </c:pt>
                <c:pt idx="16">
                  <c:v>0.69863299999999995</c:v>
                </c:pt>
                <c:pt idx="17">
                  <c:v>-4.9916200000000001E-2</c:v>
                </c:pt>
                <c:pt idx="18">
                  <c:v>-0.108347</c:v>
                </c:pt>
                <c:pt idx="19">
                  <c:v>2.7294800000000001E-2</c:v>
                </c:pt>
                <c:pt idx="20">
                  <c:v>-0.16242999999999999</c:v>
                </c:pt>
                <c:pt idx="21">
                  <c:v>-0.14413200000000001</c:v>
                </c:pt>
                <c:pt idx="22">
                  <c:v>-0.183647</c:v>
                </c:pt>
                <c:pt idx="23">
                  <c:v>-0.19952400000000001</c:v>
                </c:pt>
                <c:pt idx="24">
                  <c:v>-0.21396699999999999</c:v>
                </c:pt>
                <c:pt idx="25">
                  <c:v>-0.21559</c:v>
                </c:pt>
                <c:pt idx="26">
                  <c:v>-0.21152399999999999</c:v>
                </c:pt>
                <c:pt idx="27">
                  <c:v>-0.21412600000000001</c:v>
                </c:pt>
                <c:pt idx="28">
                  <c:v>-0.18534</c:v>
                </c:pt>
                <c:pt idx="29">
                  <c:v>-0.16095699999999999</c:v>
                </c:pt>
                <c:pt idx="30">
                  <c:v>-0.161083</c:v>
                </c:pt>
                <c:pt idx="31">
                  <c:v>5.1805900000000002E-2</c:v>
                </c:pt>
                <c:pt idx="32">
                  <c:v>4.7906299999999999E-2</c:v>
                </c:pt>
                <c:pt idx="33">
                  <c:v>0.113298</c:v>
                </c:pt>
                <c:pt idx="34">
                  <c:v>0.112884</c:v>
                </c:pt>
                <c:pt idx="35">
                  <c:v>0.36239300000000002</c:v>
                </c:pt>
                <c:pt idx="36">
                  <c:v>0.180085</c:v>
                </c:pt>
                <c:pt idx="37">
                  <c:v>-0.35545900000000002</c:v>
                </c:pt>
                <c:pt idx="38">
                  <c:v>-0.25619999999999998</c:v>
                </c:pt>
                <c:pt idx="39">
                  <c:v>-0.45322499999999999</c:v>
                </c:pt>
                <c:pt idx="40">
                  <c:v>-0.56723000000000001</c:v>
                </c:pt>
                <c:pt idx="41">
                  <c:v>-0.565801</c:v>
                </c:pt>
                <c:pt idx="42">
                  <c:v>-0.57844899999999999</c:v>
                </c:pt>
                <c:pt idx="43">
                  <c:v>-0.578376</c:v>
                </c:pt>
                <c:pt idx="44">
                  <c:v>-0.551728</c:v>
                </c:pt>
                <c:pt idx="45">
                  <c:v>-0.54086199999999995</c:v>
                </c:pt>
                <c:pt idx="46">
                  <c:v>-0.48396899999999998</c:v>
                </c:pt>
                <c:pt idx="47">
                  <c:v>-5.8826299999999998E-2</c:v>
                </c:pt>
                <c:pt idx="48">
                  <c:v>-4.0216500000000002E-2</c:v>
                </c:pt>
                <c:pt idx="49">
                  <c:v>-7.8885899999999995E-2</c:v>
                </c:pt>
                <c:pt idx="50">
                  <c:v>-0.101385</c:v>
                </c:pt>
                <c:pt idx="51">
                  <c:v>-0.12313499999999999</c:v>
                </c:pt>
                <c:pt idx="52">
                  <c:v>0.42275099999999999</c:v>
                </c:pt>
                <c:pt idx="53">
                  <c:v>0.34967999999999999</c:v>
                </c:pt>
                <c:pt idx="54">
                  <c:v>0.58651299999999995</c:v>
                </c:pt>
                <c:pt idx="55">
                  <c:v>0.538964</c:v>
                </c:pt>
                <c:pt idx="56">
                  <c:v>0.34218700000000002</c:v>
                </c:pt>
                <c:pt idx="57">
                  <c:v>0.25939299999999998</c:v>
                </c:pt>
                <c:pt idx="58">
                  <c:v>6.8406800000000004E-2</c:v>
                </c:pt>
                <c:pt idx="59">
                  <c:v>-0.12099500000000001</c:v>
                </c:pt>
                <c:pt idx="60">
                  <c:v>-1.2525100000000001E-2</c:v>
                </c:pt>
                <c:pt idx="61">
                  <c:v>-3.3487500000000003E-2</c:v>
                </c:pt>
                <c:pt idx="62">
                  <c:v>-1.8118599999999999E-2</c:v>
                </c:pt>
                <c:pt idx="63">
                  <c:v>1.1173199999999999E-2</c:v>
                </c:pt>
                <c:pt idx="64">
                  <c:v>0.12449</c:v>
                </c:pt>
                <c:pt idx="65">
                  <c:v>0.30741299999999999</c:v>
                </c:pt>
                <c:pt idx="66">
                  <c:v>-0.21665499999999999</c:v>
                </c:pt>
                <c:pt idx="67">
                  <c:v>-0.25590000000000002</c:v>
                </c:pt>
                <c:pt idx="68">
                  <c:v>-0.180814</c:v>
                </c:pt>
                <c:pt idx="69">
                  <c:v>-0.14791099999999999</c:v>
                </c:pt>
                <c:pt idx="70">
                  <c:v>-0.116998</c:v>
                </c:pt>
                <c:pt idx="71">
                  <c:v>-9.2212699999999995E-2</c:v>
                </c:pt>
                <c:pt idx="72">
                  <c:v>-6.0826999999999999E-2</c:v>
                </c:pt>
                <c:pt idx="73">
                  <c:v>-0.43610399999999999</c:v>
                </c:pt>
                <c:pt idx="74">
                  <c:v>-0.38304899999999997</c:v>
                </c:pt>
                <c:pt idx="75">
                  <c:v>-0.34034500000000001</c:v>
                </c:pt>
                <c:pt idx="76">
                  <c:v>-0.29626400000000003</c:v>
                </c:pt>
                <c:pt idx="77">
                  <c:v>9.4879199999999997E-2</c:v>
                </c:pt>
                <c:pt idx="78">
                  <c:v>0.216942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60-48FD-BD1C-EC3D78CA15E7}"/>
            </c:ext>
          </c:extLst>
        </c:ser>
        <c:ser>
          <c:idx val="1"/>
          <c:order val="1"/>
          <c:tx>
            <c:v>Exp.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NASA_Exp.data!$F$4:$F$32</c:f>
              <c:numCache>
                <c:formatCode>General</c:formatCode>
                <c:ptCount val="29"/>
                <c:pt idx="0">
                  <c:v>0</c:v>
                </c:pt>
                <c:pt idx="1">
                  <c:v>0.03</c:v>
                </c:pt>
                <c:pt idx="2">
                  <c:v>0.04</c:v>
                </c:pt>
                <c:pt idx="3">
                  <c:v>7.0000000000000007E-2</c:v>
                </c:pt>
                <c:pt idx="4">
                  <c:v>0.13</c:v>
                </c:pt>
                <c:pt idx="5">
                  <c:v>0.17</c:v>
                </c:pt>
                <c:pt idx="6">
                  <c:v>0.21</c:v>
                </c:pt>
                <c:pt idx="7">
                  <c:v>0.26</c:v>
                </c:pt>
                <c:pt idx="8">
                  <c:v>0.3</c:v>
                </c:pt>
                <c:pt idx="9">
                  <c:v>0.35</c:v>
                </c:pt>
                <c:pt idx="10">
                  <c:v>0.4</c:v>
                </c:pt>
                <c:pt idx="11">
                  <c:v>0.5</c:v>
                </c:pt>
                <c:pt idx="12">
                  <c:v>0.56000000000000005</c:v>
                </c:pt>
                <c:pt idx="13">
                  <c:v>0.65</c:v>
                </c:pt>
                <c:pt idx="14">
                  <c:v>0.74</c:v>
                </c:pt>
                <c:pt idx="15">
                  <c:v>0.9</c:v>
                </c:pt>
                <c:pt idx="20">
                  <c:v>0.01</c:v>
                </c:pt>
                <c:pt idx="21">
                  <c:v>0.02</c:v>
                </c:pt>
                <c:pt idx="22">
                  <c:v>0.14000000000000001</c:v>
                </c:pt>
                <c:pt idx="23">
                  <c:v>0.21</c:v>
                </c:pt>
                <c:pt idx="24">
                  <c:v>0.34</c:v>
                </c:pt>
                <c:pt idx="25">
                  <c:v>0.37</c:v>
                </c:pt>
                <c:pt idx="26">
                  <c:v>0.47</c:v>
                </c:pt>
                <c:pt idx="27">
                  <c:v>0.74</c:v>
                </c:pt>
                <c:pt idx="28">
                  <c:v>0.99</c:v>
                </c:pt>
              </c:numCache>
            </c:numRef>
          </c:xVal>
          <c:yVal>
            <c:numRef>
              <c:f>NASA_Exp.data!$G$4:$G$32</c:f>
              <c:numCache>
                <c:formatCode>General</c:formatCode>
                <c:ptCount val="29"/>
                <c:pt idx="0">
                  <c:v>0.18529999999999999</c:v>
                </c:pt>
                <c:pt idx="1">
                  <c:v>-0.48320000000000002</c:v>
                </c:pt>
                <c:pt idx="2">
                  <c:v>-1.153</c:v>
                </c:pt>
                <c:pt idx="3">
                  <c:v>-1.1950000000000001</c:v>
                </c:pt>
                <c:pt idx="4">
                  <c:v>-1.1559999999999999</c:v>
                </c:pt>
                <c:pt idx="5">
                  <c:v>-1.17</c:v>
                </c:pt>
                <c:pt idx="6">
                  <c:v>-1.0609999999999999</c:v>
                </c:pt>
                <c:pt idx="7">
                  <c:v>-0.78390000000000004</c:v>
                </c:pt>
                <c:pt idx="8">
                  <c:v>-0.73929999999999996</c:v>
                </c:pt>
                <c:pt idx="9">
                  <c:v>-0.49280000000000002</c:v>
                </c:pt>
                <c:pt idx="10">
                  <c:v>-0.32019999999999998</c:v>
                </c:pt>
                <c:pt idx="11">
                  <c:v>-0.25840000000000002</c:v>
                </c:pt>
                <c:pt idx="12">
                  <c:v>-0.17480000000000001</c:v>
                </c:pt>
                <c:pt idx="13">
                  <c:v>-0.12759999999999999</c:v>
                </c:pt>
                <c:pt idx="14">
                  <c:v>8.0210000000000004E-2</c:v>
                </c:pt>
                <c:pt idx="15">
                  <c:v>8.0210000000000004E-2</c:v>
                </c:pt>
                <c:pt idx="20">
                  <c:v>0.51749999999999996</c:v>
                </c:pt>
                <c:pt idx="21">
                  <c:v>0.36909999999999998</c:v>
                </c:pt>
                <c:pt idx="22">
                  <c:v>-0.16009999999999999</c:v>
                </c:pt>
                <c:pt idx="23">
                  <c:v>-0.25340000000000001</c:v>
                </c:pt>
                <c:pt idx="24">
                  <c:v>-0.33019999999999999</c:v>
                </c:pt>
                <c:pt idx="25">
                  <c:v>-0.28620000000000001</c:v>
                </c:pt>
                <c:pt idx="26">
                  <c:v>-0.15340000000000001</c:v>
                </c:pt>
                <c:pt idx="27">
                  <c:v>-6.5570000000000003E-2</c:v>
                </c:pt>
                <c:pt idx="28">
                  <c:v>6.4449999999999993E-2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60-48FD-BD1C-EC3D78CA1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133695"/>
        <c:axId val="1119953103"/>
      </c:scatterChart>
      <c:valAx>
        <c:axId val="1544133695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953103"/>
        <c:crosses val="autoZero"/>
        <c:crossBetween val="midCat"/>
      </c:valAx>
      <c:valAx>
        <c:axId val="111995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441336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7360017497813"/>
          <c:y val="0.16745297462817149"/>
          <c:w val="0.12581955380577428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Section (89%)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0539370078740152E-2"/>
          <c:y val="0.20467592592592593"/>
          <c:w val="0.86980358705161864"/>
          <c:h val="0.7443981481481482"/>
        </c:manualLayout>
      </c:layout>
      <c:scatterChart>
        <c:scatterStyle val="lineMarker"/>
        <c:varyColors val="0"/>
        <c:ser>
          <c:idx val="0"/>
          <c:order val="0"/>
          <c:tx>
            <c:v>su2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'0.89'!$H$2:$H$79</c:f>
              <c:numCache>
                <c:formatCode>General</c:formatCode>
                <c:ptCount val="78"/>
                <c:pt idx="0">
                  <c:v>0</c:v>
                </c:pt>
                <c:pt idx="1">
                  <c:v>1.3206758467775129E-4</c:v>
                </c:pt>
                <c:pt idx="2">
                  <c:v>8.3784160371243744E-4</c:v>
                </c:pt>
                <c:pt idx="3">
                  <c:v>2.4141712153247044E-3</c:v>
                </c:pt>
                <c:pt idx="4">
                  <c:v>5.2287858869428687E-3</c:v>
                </c:pt>
                <c:pt idx="5">
                  <c:v>9.6900046647725082E-3</c:v>
                </c:pt>
                <c:pt idx="6">
                  <c:v>1.5808732211768557E-2</c:v>
                </c:pt>
                <c:pt idx="7">
                  <c:v>2.3788522236425195E-2</c:v>
                </c:pt>
                <c:pt idx="8">
                  <c:v>3.3885634318185934E-2</c:v>
                </c:pt>
                <c:pt idx="9">
                  <c:v>4.6402975761357518E-2</c:v>
                </c:pt>
                <c:pt idx="10">
                  <c:v>6.1685255078240943E-2</c:v>
                </c:pt>
                <c:pt idx="11">
                  <c:v>8.0103230809307716E-2</c:v>
                </c:pt>
                <c:pt idx="12">
                  <c:v>0.10203371964111542</c:v>
                </c:pt>
                <c:pt idx="13">
                  <c:v>0.12783354637813735</c:v>
                </c:pt>
                <c:pt idx="14">
                  <c:v>0.15780380088085444</c:v>
                </c:pt>
                <c:pt idx="15">
                  <c:v>0.19214446255156997</c:v>
                </c:pt>
                <c:pt idx="16">
                  <c:v>0.23091047877528517</c:v>
                </c:pt>
                <c:pt idx="17">
                  <c:v>0.27396529893921856</c:v>
                </c:pt>
                <c:pt idx="18">
                  <c:v>0.32094664590741939</c:v>
                </c:pt>
                <c:pt idx="19">
                  <c:v>0.37125227937746486</c:v>
                </c:pt>
                <c:pt idx="20">
                  <c:v>0.42405205159117204</c:v>
                </c:pt>
                <c:pt idx="21">
                  <c:v>0.47833182889372183</c:v>
                </c:pt>
                <c:pt idx="22">
                  <c:v>0.53296419029848474</c:v>
                </c:pt>
                <c:pt idx="23">
                  <c:v>0.58679929967831246</c:v>
                </c:pt>
                <c:pt idx="24">
                  <c:v>0.63875759540065535</c:v>
                </c:pt>
                <c:pt idx="25">
                  <c:v>0.6879109694851181</c:v>
                </c:pt>
                <c:pt idx="26">
                  <c:v>0.73354092580588481</c:v>
                </c:pt>
                <c:pt idx="27">
                  <c:v>0.77516341849067349</c:v>
                </c:pt>
                <c:pt idx="28">
                  <c:v>0.81252824610612651</c:v>
                </c:pt>
                <c:pt idx="29">
                  <c:v>0.84559360744424983</c:v>
                </c:pt>
                <c:pt idx="30">
                  <c:v>0.87448127124137465</c:v>
                </c:pt>
                <c:pt idx="31">
                  <c:v>0.8994468912623359</c:v>
                </c:pt>
                <c:pt idx="32">
                  <c:v>0.92081397250813313</c:v>
                </c:pt>
                <c:pt idx="33">
                  <c:v>0.93895206189002045</c:v>
                </c:pt>
                <c:pt idx="34">
                  <c:v>0.95423676446533834</c:v>
                </c:pt>
                <c:pt idx="35">
                  <c:v>0.96704368529142715</c:v>
                </c:pt>
                <c:pt idx="36">
                  <c:v>0.97773025498736865</c:v>
                </c:pt>
                <c:pt idx="37">
                  <c:v>0.9865993808574699</c:v>
                </c:pt>
                <c:pt idx="38">
                  <c:v>0.99394185391386525</c:v>
                </c:pt>
                <c:pt idx="40">
                  <c:v>5.9672738948427818E-4</c:v>
                </c:pt>
                <c:pt idx="41">
                  <c:v>2.2560536024765813E-3</c:v>
                </c:pt>
                <c:pt idx="42">
                  <c:v>5.1603288361695534E-3</c:v>
                </c:pt>
                <c:pt idx="43">
                  <c:v>9.2810798039583836E-3</c:v>
                </c:pt>
                <c:pt idx="44">
                  <c:v>1.4922425439367035E-2</c:v>
                </c:pt>
                <c:pt idx="45">
                  <c:v>2.2237031023766122E-2</c:v>
                </c:pt>
                <c:pt idx="46">
                  <c:v>3.1422997934172185E-2</c:v>
                </c:pt>
                <c:pt idx="47">
                  <c:v>4.2729315974725422E-2</c:v>
                </c:pt>
                <c:pt idx="48">
                  <c:v>5.6451622674429172E-2</c:v>
                </c:pt>
                <c:pt idx="49">
                  <c:v>7.2921298624195011E-2</c:v>
                </c:pt>
                <c:pt idx="50">
                  <c:v>9.248971629701877E-2</c:v>
                </c:pt>
                <c:pt idx="51">
                  <c:v>0.11550824816589626</c:v>
                </c:pt>
                <c:pt idx="52">
                  <c:v>0.14230161086104429</c:v>
                </c:pt>
                <c:pt idx="53">
                  <c:v>0.17313030466416665</c:v>
                </c:pt>
                <c:pt idx="54">
                  <c:v>0.20815583974991972</c:v>
                </c:pt>
                <c:pt idx="55">
                  <c:v>0.2473920044587955</c:v>
                </c:pt>
                <c:pt idx="56">
                  <c:v>0.29066881932790922</c:v>
                </c:pt>
                <c:pt idx="57">
                  <c:v>0.33760230694202953</c:v>
                </c:pt>
                <c:pt idx="58">
                  <c:v>0.38758322378185822</c:v>
                </c:pt>
                <c:pt idx="59">
                  <c:v>0.43979475001060175</c:v>
                </c:pt>
                <c:pt idx="60">
                  <c:v>0.49325061944543724</c:v>
                </c:pt>
                <c:pt idx="61">
                  <c:v>0.54686763556616391</c:v>
                </c:pt>
                <c:pt idx="62">
                  <c:v>0.59954685067275715</c:v>
                </c:pt>
                <c:pt idx="63">
                  <c:v>0.6502632264474425</c:v>
                </c:pt>
                <c:pt idx="64">
                  <c:v>0.69813954333694794</c:v>
                </c:pt>
                <c:pt idx="65">
                  <c:v>0.74250031805266947</c:v>
                </c:pt>
                <c:pt idx="66">
                  <c:v>0.78289967104266733</c:v>
                </c:pt>
                <c:pt idx="67">
                  <c:v>0.81911345090175502</c:v>
                </c:pt>
                <c:pt idx="68">
                  <c:v>0.85111681923097871</c:v>
                </c:pt>
                <c:pt idx="69">
                  <c:v>0.87904911339032021</c:v>
                </c:pt>
                <c:pt idx="70">
                  <c:v>0.9031544766670504</c:v>
                </c:pt>
                <c:pt idx="71">
                  <c:v>0.9237703477981668</c:v>
                </c:pt>
                <c:pt idx="72">
                  <c:v>0.94125415740275153</c:v>
                </c:pt>
                <c:pt idx="73">
                  <c:v>0.95597545239205883</c:v>
                </c:pt>
                <c:pt idx="74">
                  <c:v>0.96830983782342916</c:v>
                </c:pt>
                <c:pt idx="75">
                  <c:v>0.97858445358551371</c:v>
                </c:pt>
                <c:pt idx="76">
                  <c:v>0.98712038142087744</c:v>
                </c:pt>
                <c:pt idx="77">
                  <c:v>0.99417206346513831</c:v>
                </c:pt>
              </c:numCache>
            </c:numRef>
          </c:xVal>
          <c:yVal>
            <c:numRef>
              <c:f>'0.89'!$I$2:$I$79</c:f>
              <c:numCache>
                <c:formatCode>General</c:formatCode>
                <c:ptCount val="78"/>
                <c:pt idx="0">
                  <c:v>0.6267887027824337</c:v>
                </c:pt>
                <c:pt idx="1">
                  <c:v>0.72774869583556767</c:v>
                </c:pt>
                <c:pt idx="2">
                  <c:v>0.54375268668573395</c:v>
                </c:pt>
                <c:pt idx="3">
                  <c:v>0.63685167264618114</c:v>
                </c:pt>
                <c:pt idx="4">
                  <c:v>0.68679218829383826</c:v>
                </c:pt>
                <c:pt idx="5">
                  <c:v>0.56108213369398185</c:v>
                </c:pt>
                <c:pt idx="6">
                  <c:v>0.39386508085963085</c:v>
                </c:pt>
                <c:pt idx="7">
                  <c:v>0.26751645705616678</c:v>
                </c:pt>
                <c:pt idx="8">
                  <c:v>1.8012055467276682E-2</c:v>
                </c:pt>
                <c:pt idx="9">
                  <c:v>2.5520748516593736E-2</c:v>
                </c:pt>
                <c:pt idx="10">
                  <c:v>-0.11887296019571292</c:v>
                </c:pt>
                <c:pt idx="11">
                  <c:v>-0.12462228499095258</c:v>
                </c:pt>
                <c:pt idx="12">
                  <c:v>-0.22511986586216381</c:v>
                </c:pt>
                <c:pt idx="13">
                  <c:v>-0.2518671076422383</c:v>
                </c:pt>
                <c:pt idx="14">
                  <c:v>-0.29326400773817984</c:v>
                </c:pt>
                <c:pt idx="15">
                  <c:v>-0.31247833487845544</c:v>
                </c:pt>
                <c:pt idx="16">
                  <c:v>-0.32123994474450623</c:v>
                </c:pt>
                <c:pt idx="17">
                  <c:v>-0.31287909210278875</c:v>
                </c:pt>
                <c:pt idx="18">
                  <c:v>-0.29583369829200762</c:v>
                </c:pt>
                <c:pt idx="19">
                  <c:v>-0.26856679329796268</c:v>
                </c:pt>
                <c:pt idx="20">
                  <c:v>-0.24165000038451656</c:v>
                </c:pt>
                <c:pt idx="21">
                  <c:v>-0.20825503299860956</c:v>
                </c:pt>
                <c:pt idx="22">
                  <c:v>-0.17885662804217811</c:v>
                </c:pt>
                <c:pt idx="23">
                  <c:v>-0.14850917713141901</c:v>
                </c:pt>
                <c:pt idx="24">
                  <c:v>-0.11737122158584957</c:v>
                </c:pt>
                <c:pt idx="25">
                  <c:v>-8.8340544412184863E-2</c:v>
                </c:pt>
                <c:pt idx="26">
                  <c:v>-6.0060736543452301E-2</c:v>
                </c:pt>
                <c:pt idx="27">
                  <c:v>-3.5037631613118098E-2</c:v>
                </c:pt>
                <c:pt idx="28">
                  <c:v>-2.5102375590092198E-3</c:v>
                </c:pt>
                <c:pt idx="29">
                  <c:v>2.2504059520240548E-2</c:v>
                </c:pt>
                <c:pt idx="30">
                  <c:v>7.3809792085955311E-2</c:v>
                </c:pt>
                <c:pt idx="31">
                  <c:v>8.7968412703875731E-2</c:v>
                </c:pt>
                <c:pt idx="32">
                  <c:v>0.13744651616961009</c:v>
                </c:pt>
                <c:pt idx="33">
                  <c:v>0.12879280247934147</c:v>
                </c:pt>
                <c:pt idx="34">
                  <c:v>0.15338872663208969</c:v>
                </c:pt>
                <c:pt idx="35">
                  <c:v>0.36140814961419582</c:v>
                </c:pt>
                <c:pt idx="36">
                  <c:v>0.17311831306079373</c:v>
                </c:pt>
                <c:pt idx="37">
                  <c:v>0.55654609038559677</c:v>
                </c:pt>
                <c:pt idx="38">
                  <c:v>0.89556027861810505</c:v>
                </c:pt>
                <c:pt idx="40">
                  <c:v>0.89498776829762927</c:v>
                </c:pt>
                <c:pt idx="41">
                  <c:v>0.69951953311056925</c:v>
                </c:pt>
                <c:pt idx="42">
                  <c:v>0.17140078209936638</c:v>
                </c:pt>
                <c:pt idx="43">
                  <c:v>0.20656612755320605</c:v>
                </c:pt>
                <c:pt idx="44">
                  <c:v>-3.5497841832269984E-2</c:v>
                </c:pt>
                <c:pt idx="45">
                  <c:v>-0.29979723127991692</c:v>
                </c:pt>
                <c:pt idx="46">
                  <c:v>-0.57410233955926393</c:v>
                </c:pt>
                <c:pt idx="47">
                  <c:v>-0.62996613506107435</c:v>
                </c:pt>
                <c:pt idx="48">
                  <c:v>-0.71523273944485866</c:v>
                </c:pt>
                <c:pt idx="49">
                  <c:v>-0.82140477837709336</c:v>
                </c:pt>
                <c:pt idx="50">
                  <c:v>-0.84952604492630968</c:v>
                </c:pt>
                <c:pt idx="51">
                  <c:v>-0.8251282974229569</c:v>
                </c:pt>
                <c:pt idx="52">
                  <c:v>-0.84582454550815667</c:v>
                </c:pt>
                <c:pt idx="53">
                  <c:v>-0.86572588503300341</c:v>
                </c:pt>
                <c:pt idx="54">
                  <c:v>-0.80357988974535677</c:v>
                </c:pt>
                <c:pt idx="55">
                  <c:v>-0.65547146983827076</c:v>
                </c:pt>
                <c:pt idx="56">
                  <c:v>-0.5154706768542302</c:v>
                </c:pt>
                <c:pt idx="57">
                  <c:v>-0.43683418237410959</c:v>
                </c:pt>
                <c:pt idx="58">
                  <c:v>-0.37449221239983854</c:v>
                </c:pt>
                <c:pt idx="59">
                  <c:v>-0.31560512201336166</c:v>
                </c:pt>
                <c:pt idx="60">
                  <c:v>-0.26913710165566757</c:v>
                </c:pt>
                <c:pt idx="61">
                  <c:v>-0.22894907912103826</c:v>
                </c:pt>
                <c:pt idx="62">
                  <c:v>-0.1827981414023768</c:v>
                </c:pt>
                <c:pt idx="63">
                  <c:v>-0.14869634396695919</c:v>
                </c:pt>
                <c:pt idx="64">
                  <c:v>-0.10655077652885701</c:v>
                </c:pt>
                <c:pt idx="65">
                  <c:v>-7.1442682107065031E-2</c:v>
                </c:pt>
                <c:pt idx="66">
                  <c:v>-3.7122890357312532E-2</c:v>
                </c:pt>
                <c:pt idx="67">
                  <c:v>-1.497334684321289E-3</c:v>
                </c:pt>
                <c:pt idx="68">
                  <c:v>2.2878393191320873E-2</c:v>
                </c:pt>
                <c:pt idx="69">
                  <c:v>8.0107405611188967E-2</c:v>
                </c:pt>
                <c:pt idx="70">
                  <c:v>9.9198422836285396E-2</c:v>
                </c:pt>
                <c:pt idx="71">
                  <c:v>0.16105155707538099</c:v>
                </c:pt>
                <c:pt idx="72">
                  <c:v>0.1895229357051961</c:v>
                </c:pt>
                <c:pt idx="73">
                  <c:v>0.16111761595851282</c:v>
                </c:pt>
                <c:pt idx="74">
                  <c:v>0.42506689332556125</c:v>
                </c:pt>
                <c:pt idx="75">
                  <c:v>0.3125465957243585</c:v>
                </c:pt>
                <c:pt idx="76">
                  <c:v>0.49352591587783901</c:v>
                </c:pt>
                <c:pt idx="77">
                  <c:v>0.93528368700804043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2B-4BF7-85B8-F97133F3C779}"/>
            </c:ext>
          </c:extLst>
        </c:ser>
        <c:ser>
          <c:idx val="1"/>
          <c:order val="1"/>
          <c:tx>
            <c:v>Exp.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NASA_Exp.data!$H$4:$H$31</c:f>
              <c:numCache>
                <c:formatCode>General</c:formatCode>
                <c:ptCount val="28"/>
                <c:pt idx="0">
                  <c:v>0.01</c:v>
                </c:pt>
                <c:pt idx="1">
                  <c:v>0.04</c:v>
                </c:pt>
                <c:pt idx="2">
                  <c:v>0.08</c:v>
                </c:pt>
                <c:pt idx="3">
                  <c:v>0.1</c:v>
                </c:pt>
                <c:pt idx="4">
                  <c:v>0.13</c:v>
                </c:pt>
                <c:pt idx="5">
                  <c:v>0.17</c:v>
                </c:pt>
                <c:pt idx="6">
                  <c:v>0.21</c:v>
                </c:pt>
                <c:pt idx="7">
                  <c:v>0.28999999999999998</c:v>
                </c:pt>
                <c:pt idx="8">
                  <c:v>0.3</c:v>
                </c:pt>
                <c:pt idx="9">
                  <c:v>0.34</c:v>
                </c:pt>
                <c:pt idx="10">
                  <c:v>0.4</c:v>
                </c:pt>
                <c:pt idx="11">
                  <c:v>0.44</c:v>
                </c:pt>
                <c:pt idx="12">
                  <c:v>0.47</c:v>
                </c:pt>
                <c:pt idx="13">
                  <c:v>0.5</c:v>
                </c:pt>
                <c:pt idx="14">
                  <c:v>0.53</c:v>
                </c:pt>
                <c:pt idx="15">
                  <c:v>0.65</c:v>
                </c:pt>
                <c:pt idx="16">
                  <c:v>0.8</c:v>
                </c:pt>
                <c:pt idx="17">
                  <c:v>0.87</c:v>
                </c:pt>
                <c:pt idx="20">
                  <c:v>0.01</c:v>
                </c:pt>
                <c:pt idx="21">
                  <c:v>0.04</c:v>
                </c:pt>
                <c:pt idx="22">
                  <c:v>0.14000000000000001</c:v>
                </c:pt>
                <c:pt idx="23">
                  <c:v>0.28000000000000003</c:v>
                </c:pt>
                <c:pt idx="24">
                  <c:v>0.33</c:v>
                </c:pt>
                <c:pt idx="25">
                  <c:v>0.51</c:v>
                </c:pt>
                <c:pt idx="26">
                  <c:v>0.69</c:v>
                </c:pt>
                <c:pt idx="27">
                  <c:v>0.9</c:v>
                </c:pt>
              </c:numCache>
            </c:numRef>
          </c:xVal>
          <c:yVal>
            <c:numRef>
              <c:f>NASA_Exp.data!$I$4:$I$31</c:f>
              <c:numCache>
                <c:formatCode>General</c:formatCode>
                <c:ptCount val="28"/>
                <c:pt idx="0">
                  <c:v>-0.44450000000000001</c:v>
                </c:pt>
                <c:pt idx="1">
                  <c:v>-0.85350000000000004</c:v>
                </c:pt>
                <c:pt idx="2">
                  <c:v>-0.91710000000000003</c:v>
                </c:pt>
                <c:pt idx="3">
                  <c:v>-0.92349999999999999</c:v>
                </c:pt>
                <c:pt idx="4">
                  <c:v>-1.046</c:v>
                </c:pt>
                <c:pt idx="5">
                  <c:v>-1.1160000000000001</c:v>
                </c:pt>
                <c:pt idx="6">
                  <c:v>-1.208</c:v>
                </c:pt>
                <c:pt idx="7">
                  <c:v>-0.94720000000000004</c:v>
                </c:pt>
                <c:pt idx="8">
                  <c:v>-1.127</c:v>
                </c:pt>
                <c:pt idx="9">
                  <c:v>-1.0349999999999999</c:v>
                </c:pt>
                <c:pt idx="10">
                  <c:v>-0.57709999999999995</c:v>
                </c:pt>
                <c:pt idx="11">
                  <c:v>-0.37540000000000001</c:v>
                </c:pt>
                <c:pt idx="12">
                  <c:v>-0.21110000000000001</c:v>
                </c:pt>
                <c:pt idx="13">
                  <c:v>-0.13750000000000001</c:v>
                </c:pt>
                <c:pt idx="14">
                  <c:v>-9.98E-2</c:v>
                </c:pt>
                <c:pt idx="15">
                  <c:v>5.006E-2</c:v>
                </c:pt>
                <c:pt idx="16">
                  <c:v>6.7939999999999997E-3</c:v>
                </c:pt>
                <c:pt idx="17">
                  <c:v>7.1940000000000004E-2</c:v>
                </c:pt>
                <c:pt idx="20">
                  <c:v>0.70269999999999999</c:v>
                </c:pt>
                <c:pt idx="21">
                  <c:v>0.27450000000000002</c:v>
                </c:pt>
                <c:pt idx="22">
                  <c:v>-0.18859999999999999</c:v>
                </c:pt>
                <c:pt idx="23">
                  <c:v>-0.30349999999999999</c:v>
                </c:pt>
                <c:pt idx="24">
                  <c:v>-0.25140000000000001</c:v>
                </c:pt>
                <c:pt idx="25">
                  <c:v>-0.17580000000000001</c:v>
                </c:pt>
                <c:pt idx="26">
                  <c:v>0.21929999999999999</c:v>
                </c:pt>
                <c:pt idx="27">
                  <c:v>7.3120000000000004E-2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2B-4BF7-85B8-F97133F3C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186463"/>
        <c:axId val="1357186943"/>
      </c:scatterChart>
      <c:valAx>
        <c:axId val="1357186463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7186943"/>
        <c:crosses val="autoZero"/>
        <c:crossBetween val="midCat"/>
      </c:valAx>
      <c:valAx>
        <c:axId val="1357186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7186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83845144356955"/>
          <c:y val="0.21171223388743074"/>
          <c:w val="0.12581955380577428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Section (89%)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0539370078740152E-2"/>
          <c:y val="0.20467592592592593"/>
          <c:w val="0.86980358705161864"/>
          <c:h val="0.7443981481481482"/>
        </c:manualLayout>
      </c:layout>
      <c:scatterChart>
        <c:scatterStyle val="lineMarker"/>
        <c:varyColors val="0"/>
        <c:ser>
          <c:idx val="0"/>
          <c:order val="0"/>
          <c:tx>
            <c:v>su2</c:v>
          </c:tx>
          <c:spPr>
            <a:ln w="317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'0.89'!$H$2:$H$79</c:f>
              <c:numCache>
                <c:formatCode>General</c:formatCode>
                <c:ptCount val="78"/>
                <c:pt idx="0">
                  <c:v>0</c:v>
                </c:pt>
                <c:pt idx="1">
                  <c:v>1.3206758467775129E-4</c:v>
                </c:pt>
                <c:pt idx="2">
                  <c:v>8.3784160371243744E-4</c:v>
                </c:pt>
                <c:pt idx="3">
                  <c:v>2.4141712153247044E-3</c:v>
                </c:pt>
                <c:pt idx="4">
                  <c:v>5.2287858869428687E-3</c:v>
                </c:pt>
                <c:pt idx="5">
                  <c:v>9.6900046647725082E-3</c:v>
                </c:pt>
                <c:pt idx="6">
                  <c:v>1.5808732211768557E-2</c:v>
                </c:pt>
                <c:pt idx="7">
                  <c:v>2.3788522236425195E-2</c:v>
                </c:pt>
                <c:pt idx="8">
                  <c:v>3.3885634318185934E-2</c:v>
                </c:pt>
                <c:pt idx="9">
                  <c:v>4.6402975761357518E-2</c:v>
                </c:pt>
                <c:pt idx="10">
                  <c:v>6.1685255078240943E-2</c:v>
                </c:pt>
                <c:pt idx="11">
                  <c:v>8.0103230809307716E-2</c:v>
                </c:pt>
                <c:pt idx="12">
                  <c:v>0.10203371964111542</c:v>
                </c:pt>
                <c:pt idx="13">
                  <c:v>0.12783354637813735</c:v>
                </c:pt>
                <c:pt idx="14">
                  <c:v>0.15780380088085444</c:v>
                </c:pt>
                <c:pt idx="15">
                  <c:v>0.19214446255156997</c:v>
                </c:pt>
                <c:pt idx="16">
                  <c:v>0.23091047877528517</c:v>
                </c:pt>
                <c:pt idx="17">
                  <c:v>0.27396529893921856</c:v>
                </c:pt>
                <c:pt idx="18">
                  <c:v>0.32094664590741939</c:v>
                </c:pt>
                <c:pt idx="19">
                  <c:v>0.37125227937746486</c:v>
                </c:pt>
                <c:pt idx="20">
                  <c:v>0.42405205159117204</c:v>
                </c:pt>
                <c:pt idx="21">
                  <c:v>0.47833182889372183</c:v>
                </c:pt>
                <c:pt idx="22">
                  <c:v>0.53296419029848474</c:v>
                </c:pt>
                <c:pt idx="23">
                  <c:v>0.58679929967831246</c:v>
                </c:pt>
                <c:pt idx="24">
                  <c:v>0.63875759540065535</c:v>
                </c:pt>
                <c:pt idx="25">
                  <c:v>0.6879109694851181</c:v>
                </c:pt>
                <c:pt idx="26">
                  <c:v>0.73354092580588481</c:v>
                </c:pt>
                <c:pt idx="27">
                  <c:v>0.77516341849067349</c:v>
                </c:pt>
                <c:pt idx="28">
                  <c:v>0.81252824610612651</c:v>
                </c:pt>
                <c:pt idx="29">
                  <c:v>0.84559360744424983</c:v>
                </c:pt>
                <c:pt idx="30">
                  <c:v>0.87448127124137465</c:v>
                </c:pt>
                <c:pt idx="31">
                  <c:v>0.8994468912623359</c:v>
                </c:pt>
                <c:pt idx="32">
                  <c:v>0.92081397250813313</c:v>
                </c:pt>
                <c:pt idx="33">
                  <c:v>0.93895206189002045</c:v>
                </c:pt>
                <c:pt idx="34">
                  <c:v>0.95423676446533834</c:v>
                </c:pt>
                <c:pt idx="35">
                  <c:v>0.96704368529142715</c:v>
                </c:pt>
                <c:pt idx="36">
                  <c:v>0.97773025498736865</c:v>
                </c:pt>
                <c:pt idx="37">
                  <c:v>0.9865993808574699</c:v>
                </c:pt>
                <c:pt idx="38">
                  <c:v>0.99394185391386525</c:v>
                </c:pt>
                <c:pt idx="40">
                  <c:v>5.9672738948427818E-4</c:v>
                </c:pt>
                <c:pt idx="41">
                  <c:v>2.2560536024765813E-3</c:v>
                </c:pt>
                <c:pt idx="42">
                  <c:v>5.1603288361695534E-3</c:v>
                </c:pt>
                <c:pt idx="43">
                  <c:v>9.2810798039583836E-3</c:v>
                </c:pt>
                <c:pt idx="44">
                  <c:v>1.4922425439367035E-2</c:v>
                </c:pt>
                <c:pt idx="45">
                  <c:v>2.2237031023766122E-2</c:v>
                </c:pt>
                <c:pt idx="46">
                  <c:v>3.1422997934172185E-2</c:v>
                </c:pt>
                <c:pt idx="47">
                  <c:v>4.2729315974725422E-2</c:v>
                </c:pt>
                <c:pt idx="48">
                  <c:v>5.6451622674429172E-2</c:v>
                </c:pt>
                <c:pt idx="49">
                  <c:v>7.2921298624195011E-2</c:v>
                </c:pt>
                <c:pt idx="50">
                  <c:v>9.248971629701877E-2</c:v>
                </c:pt>
                <c:pt idx="51">
                  <c:v>0.11550824816589626</c:v>
                </c:pt>
                <c:pt idx="52">
                  <c:v>0.14230161086104429</c:v>
                </c:pt>
                <c:pt idx="53">
                  <c:v>0.17313030466416665</c:v>
                </c:pt>
                <c:pt idx="54">
                  <c:v>0.20815583974991972</c:v>
                </c:pt>
                <c:pt idx="55">
                  <c:v>0.2473920044587955</c:v>
                </c:pt>
                <c:pt idx="56">
                  <c:v>0.29066881932790922</c:v>
                </c:pt>
                <c:pt idx="57">
                  <c:v>0.33760230694202953</c:v>
                </c:pt>
                <c:pt idx="58">
                  <c:v>0.38758322378185822</c:v>
                </c:pt>
                <c:pt idx="59">
                  <c:v>0.43979475001060175</c:v>
                </c:pt>
                <c:pt idx="60">
                  <c:v>0.49325061944543724</c:v>
                </c:pt>
                <c:pt idx="61">
                  <c:v>0.54686763556616391</c:v>
                </c:pt>
                <c:pt idx="62">
                  <c:v>0.59954685067275715</c:v>
                </c:pt>
                <c:pt idx="63">
                  <c:v>0.6502632264474425</c:v>
                </c:pt>
                <c:pt idx="64">
                  <c:v>0.69813954333694794</c:v>
                </c:pt>
                <c:pt idx="65">
                  <c:v>0.74250031805266947</c:v>
                </c:pt>
                <c:pt idx="66">
                  <c:v>0.78289967104266733</c:v>
                </c:pt>
                <c:pt idx="67">
                  <c:v>0.81911345090175502</c:v>
                </c:pt>
                <c:pt idx="68">
                  <c:v>0.85111681923097871</c:v>
                </c:pt>
                <c:pt idx="69">
                  <c:v>0.87904911339032021</c:v>
                </c:pt>
                <c:pt idx="70">
                  <c:v>0.9031544766670504</c:v>
                </c:pt>
                <c:pt idx="71">
                  <c:v>0.9237703477981668</c:v>
                </c:pt>
                <c:pt idx="72">
                  <c:v>0.94125415740275153</c:v>
                </c:pt>
                <c:pt idx="73">
                  <c:v>0.95597545239205883</c:v>
                </c:pt>
                <c:pt idx="74">
                  <c:v>0.96830983782342916</c:v>
                </c:pt>
                <c:pt idx="75">
                  <c:v>0.97858445358551371</c:v>
                </c:pt>
                <c:pt idx="76">
                  <c:v>0.98712038142087744</c:v>
                </c:pt>
                <c:pt idx="77">
                  <c:v>0.99417206346513831</c:v>
                </c:pt>
              </c:numCache>
            </c:numRef>
          </c:xVal>
          <c:yVal>
            <c:numRef>
              <c:f>'0.89'!$Y:$Y</c:f>
              <c:numCache>
                <c:formatCode>General</c:formatCode>
                <c:ptCount val="1048576"/>
                <c:pt idx="0">
                  <c:v>0</c:v>
                </c:pt>
                <c:pt idx="1">
                  <c:v>0.74553100000000005</c:v>
                </c:pt>
                <c:pt idx="2">
                  <c:v>-1.9779700000000001E-2</c:v>
                </c:pt>
                <c:pt idx="3">
                  <c:v>0.46332400000000001</c:v>
                </c:pt>
                <c:pt idx="4">
                  <c:v>0.144118</c:v>
                </c:pt>
                <c:pt idx="5">
                  <c:v>0.30087000000000003</c:v>
                </c:pt>
                <c:pt idx="6">
                  <c:v>0.12768599999999999</c:v>
                </c:pt>
                <c:pt idx="7">
                  <c:v>0.107225</c:v>
                </c:pt>
                <c:pt idx="8">
                  <c:v>0.114426</c:v>
                </c:pt>
                <c:pt idx="9">
                  <c:v>7.3241200000000006E-2</c:v>
                </c:pt>
                <c:pt idx="10">
                  <c:v>6.1441299999999997E-2</c:v>
                </c:pt>
                <c:pt idx="11">
                  <c:v>1.8731600000000001E-2</c:v>
                </c:pt>
                <c:pt idx="12">
                  <c:v>-2.0839500000000002E-3</c:v>
                </c:pt>
                <c:pt idx="13">
                  <c:v>0.60584800000000005</c:v>
                </c:pt>
                <c:pt idx="14">
                  <c:v>0.521791</c:v>
                </c:pt>
                <c:pt idx="15">
                  <c:v>0.45267200000000002</c:v>
                </c:pt>
                <c:pt idx="16">
                  <c:v>0.778613</c:v>
                </c:pt>
                <c:pt idx="17">
                  <c:v>0.22271199999999999</c:v>
                </c:pt>
                <c:pt idx="18">
                  <c:v>1.49867E-2</c:v>
                </c:pt>
                <c:pt idx="19">
                  <c:v>0.327878</c:v>
                </c:pt>
                <c:pt idx="20">
                  <c:v>0.46709899999999999</c:v>
                </c:pt>
                <c:pt idx="21">
                  <c:v>0.57175299999999996</c:v>
                </c:pt>
                <c:pt idx="22">
                  <c:v>0.58233599999999996</c:v>
                </c:pt>
                <c:pt idx="23">
                  <c:v>0.74506600000000001</c:v>
                </c:pt>
                <c:pt idx="24">
                  <c:v>0.53017000000000003</c:v>
                </c:pt>
                <c:pt idx="25">
                  <c:v>0.14269299999999999</c:v>
                </c:pt>
                <c:pt idx="26">
                  <c:v>0.17196500000000001</c:v>
                </c:pt>
                <c:pt idx="27">
                  <c:v>-2.9551299999999999E-2</c:v>
                </c:pt>
                <c:pt idx="28">
                  <c:v>-0.24957699999999999</c:v>
                </c:pt>
                <c:pt idx="29">
                  <c:v>-0.47793200000000002</c:v>
                </c:pt>
                <c:pt idx="30">
                  <c:v>-0.52443799999999996</c:v>
                </c:pt>
                <c:pt idx="31">
                  <c:v>-0.59541999999999995</c:v>
                </c:pt>
                <c:pt idx="32">
                  <c:v>-0.68380799999999997</c:v>
                </c:pt>
                <c:pt idx="33">
                  <c:v>-0.70721699999999998</c:v>
                </c:pt>
                <c:pt idx="34">
                  <c:v>0.26018999999999998</c:v>
                </c:pt>
                <c:pt idx="35">
                  <c:v>0.35385499999999998</c:v>
                </c:pt>
                <c:pt idx="36">
                  <c:v>0.410854</c:v>
                </c:pt>
                <c:pt idx="37">
                  <c:v>-0.19059699999999999</c:v>
                </c:pt>
                <c:pt idx="38">
                  <c:v>-0.224053</c:v>
                </c:pt>
                <c:pt idx="39">
                  <c:v>-0.15217800000000001</c:v>
                </c:pt>
                <c:pt idx="40">
                  <c:v>-0.12378699999999999</c:v>
                </c:pt>
                <c:pt idx="41">
                  <c:v>-8.8702299999999998E-2</c:v>
                </c:pt>
                <c:pt idx="42">
                  <c:v>-5.9475800000000002E-2</c:v>
                </c:pt>
                <c:pt idx="43">
                  <c:v>-3.09048E-2</c:v>
                </c:pt>
                <c:pt idx="44">
                  <c:v>-1.2388E-3</c:v>
                </c:pt>
                <c:pt idx="45">
                  <c:v>1.9051800000000001E-2</c:v>
                </c:pt>
                <c:pt idx="46">
                  <c:v>6.6683999999999993E-2</c:v>
                </c:pt>
                <c:pt idx="47">
                  <c:v>8.2587599999999997E-2</c:v>
                </c:pt>
                <c:pt idx="48">
                  <c:v>0.134072</c:v>
                </c:pt>
                <c:pt idx="49">
                  <c:v>0.15776899999999999</c:v>
                </c:pt>
                <c:pt idx="50">
                  <c:v>-2.9168300000000001E-2</c:v>
                </c:pt>
                <c:pt idx="51">
                  <c:v>-5.0000599999999999E-2</c:v>
                </c:pt>
                <c:pt idx="52">
                  <c:v>-7.3542499999999997E-2</c:v>
                </c:pt>
                <c:pt idx="53">
                  <c:v>-0.209675</c:v>
                </c:pt>
                <c:pt idx="54">
                  <c:v>-0.24413799999999999</c:v>
                </c:pt>
                <c:pt idx="55">
                  <c:v>-0.18740999999999999</c:v>
                </c:pt>
                <c:pt idx="56">
                  <c:v>-0.103746</c:v>
                </c:pt>
                <c:pt idx="57">
                  <c:v>-9.8960699999999999E-2</c:v>
                </c:pt>
                <c:pt idx="58">
                  <c:v>2.12409E-2</c:v>
                </c:pt>
                <c:pt idx="59">
                  <c:v>-0.42912099999999997</c:v>
                </c:pt>
                <c:pt idx="60">
                  <c:v>-0.54566999999999999</c:v>
                </c:pt>
                <c:pt idx="61">
                  <c:v>-0.36365799999999998</c:v>
                </c:pt>
                <c:pt idx="62">
                  <c:v>-0.31175900000000001</c:v>
                </c:pt>
                <c:pt idx="63">
                  <c:v>-0.26273600000000003</c:v>
                </c:pt>
                <c:pt idx="64">
                  <c:v>-9.7709400000000002E-2</c:v>
                </c:pt>
                <c:pt idx="65">
                  <c:v>-0.123631</c:v>
                </c:pt>
                <c:pt idx="66">
                  <c:v>-0.148895</c:v>
                </c:pt>
                <c:pt idx="67">
                  <c:v>-0.17337</c:v>
                </c:pt>
                <c:pt idx="68">
                  <c:v>-0.20116899999999999</c:v>
                </c:pt>
                <c:pt idx="69">
                  <c:v>-0.223577</c:v>
                </c:pt>
                <c:pt idx="70">
                  <c:v>-0.246277</c:v>
                </c:pt>
                <c:pt idx="71">
                  <c:v>-0.260467</c:v>
                </c:pt>
                <c:pt idx="72">
                  <c:v>-0.26742700000000003</c:v>
                </c:pt>
                <c:pt idx="73">
                  <c:v>-0.26013399999999998</c:v>
                </c:pt>
                <c:pt idx="74">
                  <c:v>-0.68690700000000005</c:v>
                </c:pt>
                <c:pt idx="75">
                  <c:v>-0.70413599999999998</c:v>
                </c:pt>
                <c:pt idx="76">
                  <c:v>-0.72070299999999998</c:v>
                </c:pt>
                <c:pt idx="77">
                  <c:v>-0.66896699999999998</c:v>
                </c:pt>
                <c:pt idx="78">
                  <c:v>0.134127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DA-47AF-9099-BCA05D4F0A32}"/>
            </c:ext>
          </c:extLst>
        </c:ser>
        <c:ser>
          <c:idx val="1"/>
          <c:order val="1"/>
          <c:tx>
            <c:v>Exp.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NASA_Exp.data!$H$4:$H$31</c:f>
              <c:numCache>
                <c:formatCode>General</c:formatCode>
                <c:ptCount val="28"/>
                <c:pt idx="0">
                  <c:v>0.01</c:v>
                </c:pt>
                <c:pt idx="1">
                  <c:v>0.04</c:v>
                </c:pt>
                <c:pt idx="2">
                  <c:v>0.08</c:v>
                </c:pt>
                <c:pt idx="3">
                  <c:v>0.1</c:v>
                </c:pt>
                <c:pt idx="4">
                  <c:v>0.13</c:v>
                </c:pt>
                <c:pt idx="5">
                  <c:v>0.17</c:v>
                </c:pt>
                <c:pt idx="6">
                  <c:v>0.21</c:v>
                </c:pt>
                <c:pt idx="7">
                  <c:v>0.28999999999999998</c:v>
                </c:pt>
                <c:pt idx="8">
                  <c:v>0.3</c:v>
                </c:pt>
                <c:pt idx="9">
                  <c:v>0.34</c:v>
                </c:pt>
                <c:pt idx="10">
                  <c:v>0.4</c:v>
                </c:pt>
                <c:pt idx="11">
                  <c:v>0.44</c:v>
                </c:pt>
                <c:pt idx="12">
                  <c:v>0.47</c:v>
                </c:pt>
                <c:pt idx="13">
                  <c:v>0.5</c:v>
                </c:pt>
                <c:pt idx="14">
                  <c:v>0.53</c:v>
                </c:pt>
                <c:pt idx="15">
                  <c:v>0.65</c:v>
                </c:pt>
                <c:pt idx="16">
                  <c:v>0.8</c:v>
                </c:pt>
                <c:pt idx="17">
                  <c:v>0.87</c:v>
                </c:pt>
                <c:pt idx="20">
                  <c:v>0.01</c:v>
                </c:pt>
                <c:pt idx="21">
                  <c:v>0.04</c:v>
                </c:pt>
                <c:pt idx="22">
                  <c:v>0.14000000000000001</c:v>
                </c:pt>
                <c:pt idx="23">
                  <c:v>0.28000000000000003</c:v>
                </c:pt>
                <c:pt idx="24">
                  <c:v>0.33</c:v>
                </c:pt>
                <c:pt idx="25">
                  <c:v>0.51</c:v>
                </c:pt>
                <c:pt idx="26">
                  <c:v>0.69</c:v>
                </c:pt>
                <c:pt idx="27">
                  <c:v>0.9</c:v>
                </c:pt>
              </c:numCache>
            </c:numRef>
          </c:xVal>
          <c:yVal>
            <c:numRef>
              <c:f>NASA_Exp.data!$I$4:$I$31</c:f>
              <c:numCache>
                <c:formatCode>General</c:formatCode>
                <c:ptCount val="28"/>
                <c:pt idx="0">
                  <c:v>-0.44450000000000001</c:v>
                </c:pt>
                <c:pt idx="1">
                  <c:v>-0.85350000000000004</c:v>
                </c:pt>
                <c:pt idx="2">
                  <c:v>-0.91710000000000003</c:v>
                </c:pt>
                <c:pt idx="3">
                  <c:v>-0.92349999999999999</c:v>
                </c:pt>
                <c:pt idx="4">
                  <c:v>-1.046</c:v>
                </c:pt>
                <c:pt idx="5">
                  <c:v>-1.1160000000000001</c:v>
                </c:pt>
                <c:pt idx="6">
                  <c:v>-1.208</c:v>
                </c:pt>
                <c:pt idx="7">
                  <c:v>-0.94720000000000004</c:v>
                </c:pt>
                <c:pt idx="8">
                  <c:v>-1.127</c:v>
                </c:pt>
                <c:pt idx="9">
                  <c:v>-1.0349999999999999</c:v>
                </c:pt>
                <c:pt idx="10">
                  <c:v>-0.57709999999999995</c:v>
                </c:pt>
                <c:pt idx="11">
                  <c:v>-0.37540000000000001</c:v>
                </c:pt>
                <c:pt idx="12">
                  <c:v>-0.21110000000000001</c:v>
                </c:pt>
                <c:pt idx="13">
                  <c:v>-0.13750000000000001</c:v>
                </c:pt>
                <c:pt idx="14">
                  <c:v>-9.98E-2</c:v>
                </c:pt>
                <c:pt idx="15">
                  <c:v>5.006E-2</c:v>
                </c:pt>
                <c:pt idx="16">
                  <c:v>6.7939999999999997E-3</c:v>
                </c:pt>
                <c:pt idx="17">
                  <c:v>7.1940000000000004E-2</c:v>
                </c:pt>
                <c:pt idx="20">
                  <c:v>0.70269999999999999</c:v>
                </c:pt>
                <c:pt idx="21">
                  <c:v>0.27450000000000002</c:v>
                </c:pt>
                <c:pt idx="22">
                  <c:v>-0.18859999999999999</c:v>
                </c:pt>
                <c:pt idx="23">
                  <c:v>-0.30349999999999999</c:v>
                </c:pt>
                <c:pt idx="24">
                  <c:v>-0.25140000000000001</c:v>
                </c:pt>
                <c:pt idx="25">
                  <c:v>-0.17580000000000001</c:v>
                </c:pt>
                <c:pt idx="26">
                  <c:v>0.21929999999999999</c:v>
                </c:pt>
                <c:pt idx="27">
                  <c:v>7.3120000000000004E-2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DA-47AF-9099-BCA05D4F0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186463"/>
        <c:axId val="1357186943"/>
      </c:scatterChart>
      <c:valAx>
        <c:axId val="1357186463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7186943"/>
        <c:crosses val="autoZero"/>
        <c:crossBetween val="midCat"/>
      </c:valAx>
      <c:valAx>
        <c:axId val="1357186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7186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83845144356955"/>
          <c:y val="0.21171223388743074"/>
          <c:w val="0.12581955380577428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Section (96%)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0539370078740152E-2"/>
          <c:y val="0.20467592592592593"/>
          <c:w val="0.86980358705161864"/>
          <c:h val="0.7443981481481482"/>
        </c:manualLayout>
      </c:layout>
      <c:scatterChart>
        <c:scatterStyle val="lineMarker"/>
        <c:varyColors val="0"/>
        <c:ser>
          <c:idx val="0"/>
          <c:order val="0"/>
          <c:tx>
            <c:v>su2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'0.96'!$H$2:$H$79</c:f>
              <c:numCache>
                <c:formatCode>General</c:formatCode>
                <c:ptCount val="78"/>
                <c:pt idx="0">
                  <c:v>0</c:v>
                </c:pt>
                <c:pt idx="1">
                  <c:v>1.3206758467775129E-4</c:v>
                </c:pt>
                <c:pt idx="2">
                  <c:v>8.3784160371243744E-4</c:v>
                </c:pt>
                <c:pt idx="3">
                  <c:v>2.4141712153247044E-3</c:v>
                </c:pt>
                <c:pt idx="4">
                  <c:v>5.2287858869428687E-3</c:v>
                </c:pt>
                <c:pt idx="5">
                  <c:v>9.6900046647725082E-3</c:v>
                </c:pt>
                <c:pt idx="6">
                  <c:v>1.5808732211768557E-2</c:v>
                </c:pt>
                <c:pt idx="7">
                  <c:v>2.3788522236425195E-2</c:v>
                </c:pt>
                <c:pt idx="8">
                  <c:v>3.3885634318185934E-2</c:v>
                </c:pt>
                <c:pt idx="9">
                  <c:v>4.6402975761357518E-2</c:v>
                </c:pt>
                <c:pt idx="10">
                  <c:v>6.1685255078240943E-2</c:v>
                </c:pt>
                <c:pt idx="11">
                  <c:v>8.0103230809307716E-2</c:v>
                </c:pt>
                <c:pt idx="12">
                  <c:v>0.10203371964111542</c:v>
                </c:pt>
                <c:pt idx="13">
                  <c:v>0.12783354637813735</c:v>
                </c:pt>
                <c:pt idx="14">
                  <c:v>0.15780380088085444</c:v>
                </c:pt>
                <c:pt idx="15">
                  <c:v>0.19214446255156997</c:v>
                </c:pt>
                <c:pt idx="16">
                  <c:v>0.23091047877528517</c:v>
                </c:pt>
                <c:pt idx="17">
                  <c:v>0.27396529893921856</c:v>
                </c:pt>
                <c:pt idx="18">
                  <c:v>0.32094664590741939</c:v>
                </c:pt>
                <c:pt idx="19">
                  <c:v>0.37125227937746486</c:v>
                </c:pt>
                <c:pt idx="20">
                  <c:v>0.42405205159117204</c:v>
                </c:pt>
                <c:pt idx="21">
                  <c:v>0.47833182889372183</c:v>
                </c:pt>
                <c:pt idx="22">
                  <c:v>0.53296419029848474</c:v>
                </c:pt>
                <c:pt idx="23">
                  <c:v>0.58679929967831246</c:v>
                </c:pt>
                <c:pt idx="24">
                  <c:v>0.63875759540065535</c:v>
                </c:pt>
                <c:pt idx="25">
                  <c:v>0.6879109694851181</c:v>
                </c:pt>
                <c:pt idx="26">
                  <c:v>0.73354092580588481</c:v>
                </c:pt>
                <c:pt idx="27">
                  <c:v>0.77516341849067349</c:v>
                </c:pt>
                <c:pt idx="28">
                  <c:v>0.81252824610612651</c:v>
                </c:pt>
                <c:pt idx="29">
                  <c:v>0.84559360744424983</c:v>
                </c:pt>
                <c:pt idx="30">
                  <c:v>0.87448127124137465</c:v>
                </c:pt>
                <c:pt idx="31">
                  <c:v>0.8994468912623359</c:v>
                </c:pt>
                <c:pt idx="32">
                  <c:v>0.92081397250813313</c:v>
                </c:pt>
                <c:pt idx="33">
                  <c:v>0.93895206189002045</c:v>
                </c:pt>
                <c:pt idx="34">
                  <c:v>0.95423676446533834</c:v>
                </c:pt>
                <c:pt idx="35">
                  <c:v>0.96704368529142715</c:v>
                </c:pt>
                <c:pt idx="36">
                  <c:v>0.97773025498736865</c:v>
                </c:pt>
                <c:pt idx="37">
                  <c:v>0.9865993808574699</c:v>
                </c:pt>
                <c:pt idx="38">
                  <c:v>0.99394185391386525</c:v>
                </c:pt>
                <c:pt idx="40">
                  <c:v>2.2560536024765813E-3</c:v>
                </c:pt>
                <c:pt idx="41">
                  <c:v>5.1603288361695534E-3</c:v>
                </c:pt>
                <c:pt idx="42">
                  <c:v>9.2810798039583836E-3</c:v>
                </c:pt>
                <c:pt idx="43">
                  <c:v>1.4922425439367035E-2</c:v>
                </c:pt>
                <c:pt idx="44">
                  <c:v>2.2237031023766122E-2</c:v>
                </c:pt>
                <c:pt idx="45">
                  <c:v>3.1422997934172185E-2</c:v>
                </c:pt>
                <c:pt idx="46">
                  <c:v>4.2729315974725422E-2</c:v>
                </c:pt>
                <c:pt idx="47">
                  <c:v>5.6451622674429172E-2</c:v>
                </c:pt>
                <c:pt idx="48">
                  <c:v>7.2921298624195011E-2</c:v>
                </c:pt>
                <c:pt idx="49">
                  <c:v>9.248971629701877E-2</c:v>
                </c:pt>
                <c:pt idx="50">
                  <c:v>0.11550824816589626</c:v>
                </c:pt>
                <c:pt idx="51">
                  <c:v>0.14230161086104429</c:v>
                </c:pt>
                <c:pt idx="52">
                  <c:v>0.17313030466416665</c:v>
                </c:pt>
                <c:pt idx="53">
                  <c:v>0.20815583974991972</c:v>
                </c:pt>
                <c:pt idx="54">
                  <c:v>0.2473920044587955</c:v>
                </c:pt>
                <c:pt idx="55">
                  <c:v>0.29066881932790922</c:v>
                </c:pt>
                <c:pt idx="56">
                  <c:v>0.33760230694202953</c:v>
                </c:pt>
                <c:pt idx="57">
                  <c:v>0.38758322378185822</c:v>
                </c:pt>
                <c:pt idx="58">
                  <c:v>0.43979475001060175</c:v>
                </c:pt>
                <c:pt idx="59">
                  <c:v>0.49325061944543724</c:v>
                </c:pt>
                <c:pt idx="60">
                  <c:v>0.54686763556616391</c:v>
                </c:pt>
                <c:pt idx="61">
                  <c:v>0.59954685067275715</c:v>
                </c:pt>
                <c:pt idx="62">
                  <c:v>0.6502632264474425</c:v>
                </c:pt>
                <c:pt idx="63">
                  <c:v>0.69813954333694794</c:v>
                </c:pt>
                <c:pt idx="64">
                  <c:v>0.74250031805266947</c:v>
                </c:pt>
                <c:pt idx="65">
                  <c:v>0.78289967104266733</c:v>
                </c:pt>
                <c:pt idx="66">
                  <c:v>0.81911345090175502</c:v>
                </c:pt>
                <c:pt idx="67">
                  <c:v>0.85111681923097871</c:v>
                </c:pt>
                <c:pt idx="68">
                  <c:v>0.87904911339032021</c:v>
                </c:pt>
                <c:pt idx="69">
                  <c:v>0.9031544766670504</c:v>
                </c:pt>
                <c:pt idx="70">
                  <c:v>0.9237703477981668</c:v>
                </c:pt>
                <c:pt idx="71">
                  <c:v>0.94125415740275153</c:v>
                </c:pt>
                <c:pt idx="72">
                  <c:v>0.95597545239205883</c:v>
                </c:pt>
                <c:pt idx="73">
                  <c:v>0.96830983782342916</c:v>
                </c:pt>
                <c:pt idx="74">
                  <c:v>0.97858445358551371</c:v>
                </c:pt>
                <c:pt idx="75">
                  <c:v>0.98712038142087744</c:v>
                </c:pt>
                <c:pt idx="76">
                  <c:v>0.99417206346513831</c:v>
                </c:pt>
                <c:pt idx="77">
                  <c:v>1</c:v>
                </c:pt>
              </c:numCache>
            </c:numRef>
          </c:xVal>
          <c:yVal>
            <c:numRef>
              <c:f>'0.96'!$I$2:$I$79</c:f>
              <c:numCache>
                <c:formatCode>General</c:formatCode>
                <c:ptCount val="78"/>
                <c:pt idx="0">
                  <c:v>0.72348801070140956</c:v>
                </c:pt>
                <c:pt idx="1">
                  <c:v>0.82208015493525244</c:v>
                </c:pt>
                <c:pt idx="2">
                  <c:v>0.69299904455682537</c:v>
                </c:pt>
                <c:pt idx="3">
                  <c:v>0.49451567812558733</c:v>
                </c:pt>
                <c:pt idx="4">
                  <c:v>0.54641974766933732</c:v>
                </c:pt>
                <c:pt idx="5">
                  <c:v>0.58330568863444443</c:v>
                </c:pt>
                <c:pt idx="6">
                  <c:v>0.39129802902152033</c:v>
                </c:pt>
                <c:pt idx="7">
                  <c:v>0.30146481954193183</c:v>
                </c:pt>
                <c:pt idx="8">
                  <c:v>0.10054076117917132</c:v>
                </c:pt>
                <c:pt idx="9">
                  <c:v>6.9284158056124321E-3</c:v>
                </c:pt>
                <c:pt idx="10">
                  <c:v>-0.13229928078813627</c:v>
                </c:pt>
                <c:pt idx="11">
                  <c:v>-0.15547601263787672</c:v>
                </c:pt>
                <c:pt idx="12">
                  <c:v>-0.22366185932481583</c:v>
                </c:pt>
                <c:pt idx="13">
                  <c:v>-0.27936277946203936</c:v>
                </c:pt>
                <c:pt idx="14">
                  <c:v>-0.29236930549712065</c:v>
                </c:pt>
                <c:pt idx="15">
                  <c:v>-0.30320676499305882</c:v>
                </c:pt>
                <c:pt idx="16">
                  <c:v>-0.31089100797746522</c:v>
                </c:pt>
                <c:pt idx="17">
                  <c:v>-0.30797989235914125</c:v>
                </c:pt>
                <c:pt idx="18">
                  <c:v>-0.2798154884493379</c:v>
                </c:pt>
                <c:pt idx="19">
                  <c:v>-0.24928912460580271</c:v>
                </c:pt>
                <c:pt idx="20">
                  <c:v>-0.222156109867062</c:v>
                </c:pt>
                <c:pt idx="21">
                  <c:v>-0.19669811838132598</c:v>
                </c:pt>
                <c:pt idx="22">
                  <c:v>-0.16861047816936875</c:v>
                </c:pt>
                <c:pt idx="23">
                  <c:v>-0.14050315495796376</c:v>
                </c:pt>
                <c:pt idx="24">
                  <c:v>-0.11310638802662284</c:v>
                </c:pt>
                <c:pt idx="25">
                  <c:v>-9.1441310534470618E-2</c:v>
                </c:pt>
                <c:pt idx="26">
                  <c:v>-6.7544180904942228E-2</c:v>
                </c:pt>
                <c:pt idx="27">
                  <c:v>-3.7464621148871204E-2</c:v>
                </c:pt>
                <c:pt idx="28">
                  <c:v>-1.6120376547717561E-2</c:v>
                </c:pt>
                <c:pt idx="29">
                  <c:v>2.5312337289822694E-2</c:v>
                </c:pt>
                <c:pt idx="30">
                  <c:v>7.0583236019676657E-2</c:v>
                </c:pt>
                <c:pt idx="31">
                  <c:v>9.3513930376320067E-2</c:v>
                </c:pt>
                <c:pt idx="32">
                  <c:v>0.15171655974335405</c:v>
                </c:pt>
                <c:pt idx="33">
                  <c:v>0.18427224082995339</c:v>
                </c:pt>
                <c:pt idx="34">
                  <c:v>0.17513932908619154</c:v>
                </c:pt>
                <c:pt idx="35">
                  <c:v>0.39529367790941611</c:v>
                </c:pt>
                <c:pt idx="36">
                  <c:v>0.34126384442530783</c:v>
                </c:pt>
                <c:pt idx="37">
                  <c:v>0.53642078394987391</c:v>
                </c:pt>
                <c:pt idx="38">
                  <c:v>1.001530060900504</c:v>
                </c:pt>
                <c:pt idx="40">
                  <c:v>0.85274626807486653</c:v>
                </c:pt>
                <c:pt idx="41">
                  <c:v>0.84585721826814964</c:v>
                </c:pt>
                <c:pt idx="42">
                  <c:v>0.49036256524210947</c:v>
                </c:pt>
                <c:pt idx="43">
                  <c:v>3.5488448004315956E-2</c:v>
                </c:pt>
                <c:pt idx="44">
                  <c:v>-1.5313373570359296E-2</c:v>
                </c:pt>
                <c:pt idx="45">
                  <c:v>-0.36107675166942577</c:v>
                </c:pt>
                <c:pt idx="46">
                  <c:v>-0.53299594204596323</c:v>
                </c:pt>
                <c:pt idx="47">
                  <c:v>-0.60797832844221478</c:v>
                </c:pt>
                <c:pt idx="48">
                  <c:v>-0.65890415291341098</c:v>
                </c:pt>
                <c:pt idx="49">
                  <c:v>-0.71649070439772999</c:v>
                </c:pt>
                <c:pt idx="50">
                  <c:v>-0.79179589198492495</c:v>
                </c:pt>
                <c:pt idx="51">
                  <c:v>-0.8132464247830965</c:v>
                </c:pt>
                <c:pt idx="52">
                  <c:v>-0.82005674259202233</c:v>
                </c:pt>
                <c:pt idx="53">
                  <c:v>-0.81114231214213084</c:v>
                </c:pt>
                <c:pt idx="54">
                  <c:v>-0.74435592671592743</c:v>
                </c:pt>
                <c:pt idx="55">
                  <c:v>-0.56427813306829233</c:v>
                </c:pt>
                <c:pt idx="56">
                  <c:v>-0.40805416645140069</c:v>
                </c:pt>
                <c:pt idx="57">
                  <c:v>-0.35582139081687314</c:v>
                </c:pt>
                <c:pt idx="58">
                  <c:v>-0.31266838282759829</c:v>
                </c:pt>
                <c:pt idx="59">
                  <c:v>-0.27308587093814768</c:v>
                </c:pt>
                <c:pt idx="60">
                  <c:v>-0.23001356324660877</c:v>
                </c:pt>
                <c:pt idx="61">
                  <c:v>-0.19625131429386181</c:v>
                </c:pt>
                <c:pt idx="62">
                  <c:v>-0.16344762741422056</c:v>
                </c:pt>
                <c:pt idx="63">
                  <c:v>-0.1324823326830005</c:v>
                </c:pt>
                <c:pt idx="64">
                  <c:v>-0.10358178459385065</c:v>
                </c:pt>
                <c:pt idx="65">
                  <c:v>-7.2478708866496253E-2</c:v>
                </c:pt>
                <c:pt idx="66">
                  <c:v>-4.4452085952826924E-2</c:v>
                </c:pt>
                <c:pt idx="67">
                  <c:v>-1.7281673515135557E-2</c:v>
                </c:pt>
                <c:pt idx="68">
                  <c:v>1.7301356514583317E-2</c:v>
                </c:pt>
                <c:pt idx="69">
                  <c:v>4.5369313727092776E-2</c:v>
                </c:pt>
                <c:pt idx="70">
                  <c:v>7.6310988858975567E-2</c:v>
                </c:pt>
                <c:pt idx="71">
                  <c:v>0.11504713177217235</c:v>
                </c:pt>
                <c:pt idx="72">
                  <c:v>0.16315238242250413</c:v>
                </c:pt>
                <c:pt idx="73">
                  <c:v>0.19686936047652145</c:v>
                </c:pt>
                <c:pt idx="74">
                  <c:v>0.35075105015912938</c:v>
                </c:pt>
                <c:pt idx="75">
                  <c:v>0.29372940075896115</c:v>
                </c:pt>
                <c:pt idx="76">
                  <c:v>0.48990985625481093</c:v>
                </c:pt>
                <c:pt idx="77">
                  <c:v>0.85016779514720964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0B-4DBB-88B5-17A86F273A4E}"/>
            </c:ext>
          </c:extLst>
        </c:ser>
        <c:ser>
          <c:idx val="1"/>
          <c:order val="1"/>
          <c:tx>
            <c:v>Exp.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NASA_Exp.data!$J$4:$J$31</c:f>
              <c:numCache>
                <c:formatCode>General</c:formatCode>
                <c:ptCount val="28"/>
                <c:pt idx="0">
                  <c:v>0</c:v>
                </c:pt>
                <c:pt idx="1">
                  <c:v>0.02</c:v>
                </c:pt>
                <c:pt idx="2">
                  <c:v>7.0000000000000007E-2</c:v>
                </c:pt>
                <c:pt idx="3">
                  <c:v>0.09</c:v>
                </c:pt>
                <c:pt idx="4">
                  <c:v>0.15</c:v>
                </c:pt>
                <c:pt idx="5">
                  <c:v>0.19</c:v>
                </c:pt>
                <c:pt idx="6">
                  <c:v>0.27</c:v>
                </c:pt>
                <c:pt idx="7">
                  <c:v>0.33</c:v>
                </c:pt>
                <c:pt idx="8">
                  <c:v>0.39</c:v>
                </c:pt>
                <c:pt idx="9">
                  <c:v>0.44</c:v>
                </c:pt>
                <c:pt idx="10">
                  <c:v>0.49</c:v>
                </c:pt>
                <c:pt idx="11">
                  <c:v>0.51</c:v>
                </c:pt>
                <c:pt idx="12">
                  <c:v>0.61</c:v>
                </c:pt>
                <c:pt idx="13">
                  <c:v>0.76</c:v>
                </c:pt>
                <c:pt idx="14">
                  <c:v>0.9</c:v>
                </c:pt>
                <c:pt idx="20">
                  <c:v>0</c:v>
                </c:pt>
                <c:pt idx="21">
                  <c:v>7.0000000000000007E-2</c:v>
                </c:pt>
                <c:pt idx="22">
                  <c:v>0.16</c:v>
                </c:pt>
                <c:pt idx="23">
                  <c:v>0.33</c:v>
                </c:pt>
                <c:pt idx="24">
                  <c:v>0.39</c:v>
                </c:pt>
                <c:pt idx="25">
                  <c:v>0.43</c:v>
                </c:pt>
                <c:pt idx="26">
                  <c:v>0.74</c:v>
                </c:pt>
                <c:pt idx="27">
                  <c:v>0.85</c:v>
                </c:pt>
              </c:numCache>
            </c:numRef>
          </c:xVal>
          <c:yVal>
            <c:numRef>
              <c:f>NASA_Exp.data!$K$4:$K$31</c:f>
              <c:numCache>
                <c:formatCode>General</c:formatCode>
                <c:ptCount val="28"/>
                <c:pt idx="0">
                  <c:v>1.0920000000000001</c:v>
                </c:pt>
                <c:pt idx="1">
                  <c:v>-0.49940000000000001</c:v>
                </c:pt>
                <c:pt idx="2">
                  <c:v>-0.8911</c:v>
                </c:pt>
                <c:pt idx="3">
                  <c:v>-0.97719999999999996</c:v>
                </c:pt>
                <c:pt idx="4">
                  <c:v>-1.0620000000000001</c:v>
                </c:pt>
                <c:pt idx="5">
                  <c:v>-1.028</c:v>
                </c:pt>
                <c:pt idx="6">
                  <c:v>-1.0820000000000001</c:v>
                </c:pt>
                <c:pt idx="7">
                  <c:v>-0.66059999999999997</c:v>
                </c:pt>
                <c:pt idx="8">
                  <c:v>-0.22370000000000001</c:v>
                </c:pt>
                <c:pt idx="9">
                  <c:v>-0.19470000000000001</c:v>
                </c:pt>
                <c:pt idx="10">
                  <c:v>-0.1394</c:v>
                </c:pt>
                <c:pt idx="11">
                  <c:v>-0.1174</c:v>
                </c:pt>
                <c:pt idx="12">
                  <c:v>-0.65269999999999995</c:v>
                </c:pt>
                <c:pt idx="13">
                  <c:v>-0.65269999999999995</c:v>
                </c:pt>
                <c:pt idx="14">
                  <c:v>6.0740000000000002E-2</c:v>
                </c:pt>
                <c:pt idx="20">
                  <c:v>1.1140000000000001</c:v>
                </c:pt>
                <c:pt idx="21">
                  <c:v>8.7739999999999999E-2</c:v>
                </c:pt>
                <c:pt idx="22">
                  <c:v>-0.2487</c:v>
                </c:pt>
                <c:pt idx="23">
                  <c:v>-0.32379999999999998</c:v>
                </c:pt>
                <c:pt idx="24">
                  <c:v>-0.25580000000000003</c:v>
                </c:pt>
                <c:pt idx="25">
                  <c:v>-0.17580000000000001</c:v>
                </c:pt>
                <c:pt idx="26">
                  <c:v>-6.4399999999999999E-2</c:v>
                </c:pt>
                <c:pt idx="27">
                  <c:v>-1.1270000000000001E-2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0B-4DBB-88B5-17A86F273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186463"/>
        <c:axId val="1357186943"/>
      </c:scatterChart>
      <c:valAx>
        <c:axId val="1357186463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7186943"/>
        <c:crosses val="autoZero"/>
        <c:crossBetween val="midCat"/>
      </c:valAx>
      <c:valAx>
        <c:axId val="1357186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7186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83845144356955"/>
          <c:y val="0.21171223388743074"/>
          <c:w val="0.12581955380577428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Section (96%)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0539370078740152E-2"/>
          <c:y val="0.20467592592592593"/>
          <c:w val="0.86980358705161864"/>
          <c:h val="0.7443981481481482"/>
        </c:manualLayout>
      </c:layout>
      <c:scatterChart>
        <c:scatterStyle val="lineMarker"/>
        <c:varyColors val="0"/>
        <c:ser>
          <c:idx val="0"/>
          <c:order val="0"/>
          <c:tx>
            <c:v>su2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'0.96'!$H$2:$H$79</c:f>
              <c:numCache>
                <c:formatCode>General</c:formatCode>
                <c:ptCount val="78"/>
                <c:pt idx="0">
                  <c:v>0</c:v>
                </c:pt>
                <c:pt idx="1">
                  <c:v>1.3206758467775129E-4</c:v>
                </c:pt>
                <c:pt idx="2">
                  <c:v>8.3784160371243744E-4</c:v>
                </c:pt>
                <c:pt idx="3">
                  <c:v>2.4141712153247044E-3</c:v>
                </c:pt>
                <c:pt idx="4">
                  <c:v>5.2287858869428687E-3</c:v>
                </c:pt>
                <c:pt idx="5">
                  <c:v>9.6900046647725082E-3</c:v>
                </c:pt>
                <c:pt idx="6">
                  <c:v>1.5808732211768557E-2</c:v>
                </c:pt>
                <c:pt idx="7">
                  <c:v>2.3788522236425195E-2</c:v>
                </c:pt>
                <c:pt idx="8">
                  <c:v>3.3885634318185934E-2</c:v>
                </c:pt>
                <c:pt idx="9">
                  <c:v>4.6402975761357518E-2</c:v>
                </c:pt>
                <c:pt idx="10">
                  <c:v>6.1685255078240943E-2</c:v>
                </c:pt>
                <c:pt idx="11">
                  <c:v>8.0103230809307716E-2</c:v>
                </c:pt>
                <c:pt idx="12">
                  <c:v>0.10203371964111542</c:v>
                </c:pt>
                <c:pt idx="13">
                  <c:v>0.12783354637813735</c:v>
                </c:pt>
                <c:pt idx="14">
                  <c:v>0.15780380088085444</c:v>
                </c:pt>
                <c:pt idx="15">
                  <c:v>0.19214446255156997</c:v>
                </c:pt>
                <c:pt idx="16">
                  <c:v>0.23091047877528517</c:v>
                </c:pt>
                <c:pt idx="17">
                  <c:v>0.27396529893921856</c:v>
                </c:pt>
                <c:pt idx="18">
                  <c:v>0.32094664590741939</c:v>
                </c:pt>
                <c:pt idx="19">
                  <c:v>0.37125227937746486</c:v>
                </c:pt>
                <c:pt idx="20">
                  <c:v>0.42405205159117204</c:v>
                </c:pt>
                <c:pt idx="21">
                  <c:v>0.47833182889372183</c:v>
                </c:pt>
                <c:pt idx="22">
                  <c:v>0.53296419029848474</c:v>
                </c:pt>
                <c:pt idx="23">
                  <c:v>0.58679929967831246</c:v>
                </c:pt>
                <c:pt idx="24">
                  <c:v>0.63875759540065535</c:v>
                </c:pt>
                <c:pt idx="25">
                  <c:v>0.6879109694851181</c:v>
                </c:pt>
                <c:pt idx="26">
                  <c:v>0.73354092580588481</c:v>
                </c:pt>
                <c:pt idx="27">
                  <c:v>0.77516341849067349</c:v>
                </c:pt>
                <c:pt idx="28">
                  <c:v>0.81252824610612651</c:v>
                </c:pt>
                <c:pt idx="29">
                  <c:v>0.84559360744424983</c:v>
                </c:pt>
                <c:pt idx="30">
                  <c:v>0.87448127124137465</c:v>
                </c:pt>
                <c:pt idx="31">
                  <c:v>0.8994468912623359</c:v>
                </c:pt>
                <c:pt idx="32">
                  <c:v>0.92081397250813313</c:v>
                </c:pt>
                <c:pt idx="33">
                  <c:v>0.93895206189002045</c:v>
                </c:pt>
                <c:pt idx="34">
                  <c:v>0.95423676446533834</c:v>
                </c:pt>
                <c:pt idx="35">
                  <c:v>0.96704368529142715</c:v>
                </c:pt>
                <c:pt idx="36">
                  <c:v>0.97773025498736865</c:v>
                </c:pt>
                <c:pt idx="37">
                  <c:v>0.9865993808574699</c:v>
                </c:pt>
                <c:pt idx="38">
                  <c:v>0.99394185391386525</c:v>
                </c:pt>
                <c:pt idx="40">
                  <c:v>2.2560536024765813E-3</c:v>
                </c:pt>
                <c:pt idx="41">
                  <c:v>5.1603288361695534E-3</c:v>
                </c:pt>
                <c:pt idx="42">
                  <c:v>9.2810798039583836E-3</c:v>
                </c:pt>
                <c:pt idx="43">
                  <c:v>1.4922425439367035E-2</c:v>
                </c:pt>
                <c:pt idx="44">
                  <c:v>2.2237031023766122E-2</c:v>
                </c:pt>
                <c:pt idx="45">
                  <c:v>3.1422997934172185E-2</c:v>
                </c:pt>
                <c:pt idx="46">
                  <c:v>4.2729315974725422E-2</c:v>
                </c:pt>
                <c:pt idx="47">
                  <c:v>5.6451622674429172E-2</c:v>
                </c:pt>
                <c:pt idx="48">
                  <c:v>7.2921298624195011E-2</c:v>
                </c:pt>
                <c:pt idx="49">
                  <c:v>9.248971629701877E-2</c:v>
                </c:pt>
                <c:pt idx="50">
                  <c:v>0.11550824816589626</c:v>
                </c:pt>
                <c:pt idx="51">
                  <c:v>0.14230161086104429</c:v>
                </c:pt>
                <c:pt idx="52">
                  <c:v>0.17313030466416665</c:v>
                </c:pt>
                <c:pt idx="53">
                  <c:v>0.20815583974991972</c:v>
                </c:pt>
                <c:pt idx="54">
                  <c:v>0.2473920044587955</c:v>
                </c:pt>
                <c:pt idx="55">
                  <c:v>0.29066881932790922</c:v>
                </c:pt>
                <c:pt idx="56">
                  <c:v>0.33760230694202953</c:v>
                </c:pt>
                <c:pt idx="57">
                  <c:v>0.38758322378185822</c:v>
                </c:pt>
                <c:pt idx="58">
                  <c:v>0.43979475001060175</c:v>
                </c:pt>
                <c:pt idx="59">
                  <c:v>0.49325061944543724</c:v>
                </c:pt>
                <c:pt idx="60">
                  <c:v>0.54686763556616391</c:v>
                </c:pt>
                <c:pt idx="61">
                  <c:v>0.59954685067275715</c:v>
                </c:pt>
                <c:pt idx="62">
                  <c:v>0.6502632264474425</c:v>
                </c:pt>
                <c:pt idx="63">
                  <c:v>0.69813954333694794</c:v>
                </c:pt>
                <c:pt idx="64">
                  <c:v>0.74250031805266947</c:v>
                </c:pt>
                <c:pt idx="65">
                  <c:v>0.78289967104266733</c:v>
                </c:pt>
                <c:pt idx="66">
                  <c:v>0.81911345090175502</c:v>
                </c:pt>
                <c:pt idx="67">
                  <c:v>0.85111681923097871</c:v>
                </c:pt>
                <c:pt idx="68">
                  <c:v>0.87904911339032021</c:v>
                </c:pt>
                <c:pt idx="69">
                  <c:v>0.9031544766670504</c:v>
                </c:pt>
                <c:pt idx="70">
                  <c:v>0.9237703477981668</c:v>
                </c:pt>
                <c:pt idx="71">
                  <c:v>0.94125415740275153</c:v>
                </c:pt>
                <c:pt idx="72">
                  <c:v>0.95597545239205883</c:v>
                </c:pt>
                <c:pt idx="73">
                  <c:v>0.96830983782342916</c:v>
                </c:pt>
                <c:pt idx="74">
                  <c:v>0.97858445358551371</c:v>
                </c:pt>
                <c:pt idx="75">
                  <c:v>0.98712038142087744</c:v>
                </c:pt>
                <c:pt idx="76">
                  <c:v>0.99417206346513831</c:v>
                </c:pt>
                <c:pt idx="77">
                  <c:v>1</c:v>
                </c:pt>
              </c:numCache>
            </c:numRef>
          </c:xVal>
          <c:yVal>
            <c:numRef>
              <c:f>'0.96'!$Y:$Y</c:f>
              <c:numCache>
                <c:formatCode>General</c:formatCode>
                <c:ptCount val="1048576"/>
                <c:pt idx="0">
                  <c:v>0</c:v>
                </c:pt>
                <c:pt idx="1">
                  <c:v>8.7082699999999999E-2</c:v>
                </c:pt>
                <c:pt idx="2">
                  <c:v>0.141295</c:v>
                </c:pt>
                <c:pt idx="3">
                  <c:v>6.5731700000000004E-2</c:v>
                </c:pt>
                <c:pt idx="4">
                  <c:v>2.3576199999999999E-2</c:v>
                </c:pt>
                <c:pt idx="5">
                  <c:v>-1.50189E-2</c:v>
                </c:pt>
                <c:pt idx="6">
                  <c:v>-3.4890699999999997E-2</c:v>
                </c:pt>
                <c:pt idx="7">
                  <c:v>-6.2904600000000005E-2</c:v>
                </c:pt>
                <c:pt idx="8">
                  <c:v>-8.5159600000000002E-2</c:v>
                </c:pt>
                <c:pt idx="9">
                  <c:v>0.79418</c:v>
                </c:pt>
                <c:pt idx="10">
                  <c:v>0.78776000000000002</c:v>
                </c:pt>
                <c:pt idx="11">
                  <c:v>0.67379999999999995</c:v>
                </c:pt>
                <c:pt idx="12">
                  <c:v>0.46055699999999999</c:v>
                </c:pt>
                <c:pt idx="13">
                  <c:v>0.64540299999999995</c:v>
                </c:pt>
                <c:pt idx="14">
                  <c:v>0.45667200000000002</c:v>
                </c:pt>
                <c:pt idx="15">
                  <c:v>3.3050400000000001E-2</c:v>
                </c:pt>
                <c:pt idx="16">
                  <c:v>-1.4262800000000001E-2</c:v>
                </c:pt>
                <c:pt idx="17">
                  <c:v>-0.33627400000000002</c:v>
                </c:pt>
                <c:pt idx="18">
                  <c:v>-0.49638500000000002</c:v>
                </c:pt>
                <c:pt idx="19">
                  <c:v>-0.56621699999999997</c:v>
                </c:pt>
                <c:pt idx="20">
                  <c:v>-0.61364399999999997</c:v>
                </c:pt>
                <c:pt idx="21">
                  <c:v>-0.66727700000000001</c:v>
                </c:pt>
                <c:pt idx="22">
                  <c:v>0.76561999999999997</c:v>
                </c:pt>
                <c:pt idx="23">
                  <c:v>-2.2122600000000002E-3</c:v>
                </c:pt>
                <c:pt idx="24">
                  <c:v>0.79177699999999995</c:v>
                </c:pt>
                <c:pt idx="25">
                  <c:v>9.36419E-2</c:v>
                </c:pt>
                <c:pt idx="26">
                  <c:v>6.4548599999999998E-3</c:v>
                </c:pt>
                <c:pt idx="27">
                  <c:v>0.28074900000000003</c:v>
                </c:pt>
                <c:pt idx="28">
                  <c:v>0.36441899999999999</c:v>
                </c:pt>
                <c:pt idx="29">
                  <c:v>0.54323100000000002</c:v>
                </c:pt>
                <c:pt idx="30">
                  <c:v>0.50887800000000005</c:v>
                </c:pt>
                <c:pt idx="31">
                  <c:v>-0.73740799999999995</c:v>
                </c:pt>
                <c:pt idx="32">
                  <c:v>-0.757386</c:v>
                </c:pt>
                <c:pt idx="33">
                  <c:v>-0.76372899999999999</c:v>
                </c:pt>
                <c:pt idx="34">
                  <c:v>-0.75542600000000004</c:v>
                </c:pt>
                <c:pt idx="35">
                  <c:v>-0.69322700000000004</c:v>
                </c:pt>
                <c:pt idx="36">
                  <c:v>-0.52551899999999996</c:v>
                </c:pt>
                <c:pt idx="37">
                  <c:v>0.16311700000000001</c:v>
                </c:pt>
                <c:pt idx="38">
                  <c:v>0.36813200000000001</c:v>
                </c:pt>
                <c:pt idx="39">
                  <c:v>0.17161000000000001</c:v>
                </c:pt>
                <c:pt idx="40">
                  <c:v>-0.26017400000000002</c:v>
                </c:pt>
                <c:pt idx="41">
                  <c:v>-0.272287</c:v>
                </c:pt>
                <c:pt idx="42">
                  <c:v>-0.20829800000000001</c:v>
                </c:pt>
                <c:pt idx="43">
                  <c:v>-0.14479600000000001</c:v>
                </c:pt>
                <c:pt idx="44">
                  <c:v>-0.123211</c:v>
                </c:pt>
                <c:pt idx="45">
                  <c:v>-0.18277199999999999</c:v>
                </c:pt>
                <c:pt idx="46">
                  <c:v>-0.21421299999999999</c:v>
                </c:pt>
                <c:pt idx="47">
                  <c:v>-0.152221</c:v>
                </c:pt>
                <c:pt idx="48">
                  <c:v>-0.12338200000000001</c:v>
                </c:pt>
                <c:pt idx="49">
                  <c:v>-9.6467600000000001E-2</c:v>
                </c:pt>
                <c:pt idx="50">
                  <c:v>-6.7501000000000005E-2</c:v>
                </c:pt>
                <c:pt idx="51">
                  <c:v>-4.1398699999999997E-2</c:v>
                </c:pt>
                <c:pt idx="52">
                  <c:v>-1.6093799999999998E-2</c:v>
                </c:pt>
                <c:pt idx="53">
                  <c:v>1.6120300000000001E-2</c:v>
                </c:pt>
                <c:pt idx="54">
                  <c:v>0.18335199999999999</c:v>
                </c:pt>
                <c:pt idx="55">
                  <c:v>0.151951</c:v>
                </c:pt>
                <c:pt idx="56">
                  <c:v>0.32666099999999998</c:v>
                </c:pt>
                <c:pt idx="57">
                  <c:v>0.27354600000000001</c:v>
                </c:pt>
                <c:pt idx="58">
                  <c:v>0.45625500000000002</c:v>
                </c:pt>
                <c:pt idx="59">
                  <c:v>4.2257299999999998E-2</c:v>
                </c:pt>
                <c:pt idx="60">
                  <c:v>7.1071099999999998E-2</c:v>
                </c:pt>
                <c:pt idx="61">
                  <c:v>0.107153</c:v>
                </c:pt>
                <c:pt idx="62">
                  <c:v>-0.105338</c:v>
                </c:pt>
                <c:pt idx="63">
                  <c:v>-0.130851</c:v>
                </c:pt>
                <c:pt idx="64">
                  <c:v>-0.157029</c:v>
                </c:pt>
                <c:pt idx="65">
                  <c:v>-0.18318699999999999</c:v>
                </c:pt>
                <c:pt idx="66">
                  <c:v>-0.206896</c:v>
                </c:pt>
                <c:pt idx="67">
                  <c:v>-0.23216600000000001</c:v>
                </c:pt>
                <c:pt idx="68">
                  <c:v>-0.26059500000000002</c:v>
                </c:pt>
                <c:pt idx="69">
                  <c:v>-0.28682400000000002</c:v>
                </c:pt>
                <c:pt idx="70">
                  <c:v>-0.28953600000000002</c:v>
                </c:pt>
                <c:pt idx="71">
                  <c:v>-0.28238099999999999</c:v>
                </c:pt>
                <c:pt idx="72">
                  <c:v>-0.380025</c:v>
                </c:pt>
                <c:pt idx="73">
                  <c:v>-0.33138099999999998</c:v>
                </c:pt>
                <c:pt idx="74">
                  <c:v>-0.29119200000000001</c:v>
                </c:pt>
                <c:pt idx="75">
                  <c:v>-0.25432900000000003</c:v>
                </c:pt>
                <c:pt idx="76">
                  <c:v>0.93274500000000005</c:v>
                </c:pt>
                <c:pt idx="77">
                  <c:v>0.49957600000000002</c:v>
                </c:pt>
                <c:pt idx="78">
                  <c:v>0.31781799999999999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2F-4967-895E-AB7538444651}"/>
            </c:ext>
          </c:extLst>
        </c:ser>
        <c:ser>
          <c:idx val="1"/>
          <c:order val="1"/>
          <c:tx>
            <c:v>Exp.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NASA_Exp.data!$J$4:$J$31</c:f>
              <c:numCache>
                <c:formatCode>General</c:formatCode>
                <c:ptCount val="28"/>
                <c:pt idx="0">
                  <c:v>0</c:v>
                </c:pt>
                <c:pt idx="1">
                  <c:v>0.02</c:v>
                </c:pt>
                <c:pt idx="2">
                  <c:v>7.0000000000000007E-2</c:v>
                </c:pt>
                <c:pt idx="3">
                  <c:v>0.09</c:v>
                </c:pt>
                <c:pt idx="4">
                  <c:v>0.15</c:v>
                </c:pt>
                <c:pt idx="5">
                  <c:v>0.19</c:v>
                </c:pt>
                <c:pt idx="6">
                  <c:v>0.27</c:v>
                </c:pt>
                <c:pt idx="7">
                  <c:v>0.33</c:v>
                </c:pt>
                <c:pt idx="8">
                  <c:v>0.39</c:v>
                </c:pt>
                <c:pt idx="9">
                  <c:v>0.44</c:v>
                </c:pt>
                <c:pt idx="10">
                  <c:v>0.49</c:v>
                </c:pt>
                <c:pt idx="11">
                  <c:v>0.51</c:v>
                </c:pt>
                <c:pt idx="12">
                  <c:v>0.61</c:v>
                </c:pt>
                <c:pt idx="13">
                  <c:v>0.76</c:v>
                </c:pt>
                <c:pt idx="14">
                  <c:v>0.9</c:v>
                </c:pt>
                <c:pt idx="20">
                  <c:v>0</c:v>
                </c:pt>
                <c:pt idx="21">
                  <c:v>7.0000000000000007E-2</c:v>
                </c:pt>
                <c:pt idx="22">
                  <c:v>0.16</c:v>
                </c:pt>
                <c:pt idx="23">
                  <c:v>0.33</c:v>
                </c:pt>
                <c:pt idx="24">
                  <c:v>0.39</c:v>
                </c:pt>
                <c:pt idx="25">
                  <c:v>0.43</c:v>
                </c:pt>
                <c:pt idx="26">
                  <c:v>0.74</c:v>
                </c:pt>
                <c:pt idx="27">
                  <c:v>0.85</c:v>
                </c:pt>
              </c:numCache>
            </c:numRef>
          </c:xVal>
          <c:yVal>
            <c:numRef>
              <c:f>NASA_Exp.data!$K$4:$K$31</c:f>
              <c:numCache>
                <c:formatCode>General</c:formatCode>
                <c:ptCount val="28"/>
                <c:pt idx="0">
                  <c:v>1.0920000000000001</c:v>
                </c:pt>
                <c:pt idx="1">
                  <c:v>-0.49940000000000001</c:v>
                </c:pt>
                <c:pt idx="2">
                  <c:v>-0.8911</c:v>
                </c:pt>
                <c:pt idx="3">
                  <c:v>-0.97719999999999996</c:v>
                </c:pt>
                <c:pt idx="4">
                  <c:v>-1.0620000000000001</c:v>
                </c:pt>
                <c:pt idx="5">
                  <c:v>-1.028</c:v>
                </c:pt>
                <c:pt idx="6">
                  <c:v>-1.0820000000000001</c:v>
                </c:pt>
                <c:pt idx="7">
                  <c:v>-0.66059999999999997</c:v>
                </c:pt>
                <c:pt idx="8">
                  <c:v>-0.22370000000000001</c:v>
                </c:pt>
                <c:pt idx="9">
                  <c:v>-0.19470000000000001</c:v>
                </c:pt>
                <c:pt idx="10">
                  <c:v>-0.1394</c:v>
                </c:pt>
                <c:pt idx="11">
                  <c:v>-0.1174</c:v>
                </c:pt>
                <c:pt idx="12">
                  <c:v>-0.65269999999999995</c:v>
                </c:pt>
                <c:pt idx="13">
                  <c:v>-0.65269999999999995</c:v>
                </c:pt>
                <c:pt idx="14">
                  <c:v>6.0740000000000002E-2</c:v>
                </c:pt>
                <c:pt idx="20">
                  <c:v>1.1140000000000001</c:v>
                </c:pt>
                <c:pt idx="21">
                  <c:v>8.7739999999999999E-2</c:v>
                </c:pt>
                <c:pt idx="22">
                  <c:v>-0.2487</c:v>
                </c:pt>
                <c:pt idx="23">
                  <c:v>-0.32379999999999998</c:v>
                </c:pt>
                <c:pt idx="24">
                  <c:v>-0.25580000000000003</c:v>
                </c:pt>
                <c:pt idx="25">
                  <c:v>-0.17580000000000001</c:v>
                </c:pt>
                <c:pt idx="26">
                  <c:v>-6.4399999999999999E-2</c:v>
                </c:pt>
                <c:pt idx="27">
                  <c:v>-1.1270000000000001E-2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2F-4967-895E-AB7538444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186463"/>
        <c:axId val="1357186943"/>
      </c:scatterChart>
      <c:valAx>
        <c:axId val="1357186463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7186943"/>
        <c:crosses val="autoZero"/>
        <c:crossBetween val="midCat"/>
      </c:valAx>
      <c:valAx>
        <c:axId val="1357186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57186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83845144356955"/>
          <c:y val="0.21171223388743074"/>
          <c:w val="0.12581955380577428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666750</xdr:colOff>
      <xdr:row>1</xdr:row>
      <xdr:rowOff>19050</xdr:rowOff>
    </xdr:from>
    <xdr:to>
      <xdr:col>7</xdr:col>
      <xdr:colOff>661988</xdr:colOff>
      <xdr:row>14</xdr:row>
      <xdr:rowOff>161925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6499E20-B0C8-49D9-BC9B-B5346F5F4A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685799</xdr:colOff>
      <xdr:row>15</xdr:row>
      <xdr:rowOff>47624</xdr:rowOff>
    </xdr:from>
    <xdr:to>
      <xdr:col>7</xdr:col>
      <xdr:colOff>676274</xdr:colOff>
      <xdr:row>28</xdr:row>
      <xdr:rowOff>152399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91D9434B-5BF6-4682-90D5-861528EEBC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76200</xdr:colOff>
      <xdr:row>1</xdr:row>
      <xdr:rowOff>53340</xdr:rowOff>
    </xdr:from>
    <xdr:to>
      <xdr:col>14</xdr:col>
      <xdr:colOff>666750</xdr:colOff>
      <xdr:row>14</xdr:row>
      <xdr:rowOff>152400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19CCE67F-3518-4F1D-BE3B-511D0D5802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76200</xdr:colOff>
      <xdr:row>15</xdr:row>
      <xdr:rowOff>66675</xdr:rowOff>
    </xdr:from>
    <xdr:to>
      <xdr:col>14</xdr:col>
      <xdr:colOff>660400</xdr:colOff>
      <xdr:row>28</xdr:row>
      <xdr:rowOff>161925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A0E3568C-1FE8-4AD7-9DAE-F6B7794EB4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85725</xdr:colOff>
      <xdr:row>15</xdr:row>
      <xdr:rowOff>66675</xdr:rowOff>
    </xdr:from>
    <xdr:to>
      <xdr:col>21</xdr:col>
      <xdr:colOff>654050</xdr:colOff>
      <xdr:row>28</xdr:row>
      <xdr:rowOff>152400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8FC72E05-4C99-4986-883F-B6E24BC8F2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681037</xdr:colOff>
      <xdr:row>1</xdr:row>
      <xdr:rowOff>9523</xdr:rowOff>
    </xdr:from>
    <xdr:to>
      <xdr:col>17</xdr:col>
      <xdr:colOff>504825</xdr:colOff>
      <xdr:row>13</xdr:row>
      <xdr:rowOff>142875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3DE82345-44ED-4EE5-5EA1-E3DE76CF18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28575</xdr:colOff>
      <xdr:row>17</xdr:row>
      <xdr:rowOff>123825</xdr:rowOff>
    </xdr:from>
    <xdr:to>
      <xdr:col>17</xdr:col>
      <xdr:colOff>538163</xdr:colOff>
      <xdr:row>30</xdr:row>
      <xdr:rowOff>47627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66E67A9C-1FD3-49BD-9CC4-A9B13A3F82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676275</xdr:colOff>
      <xdr:row>3</xdr:row>
      <xdr:rowOff>19050</xdr:rowOff>
    </xdr:from>
    <xdr:to>
      <xdr:col>17</xdr:col>
      <xdr:colOff>447675</xdr:colOff>
      <xdr:row>16</xdr:row>
      <xdr:rowOff>38100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F58CD5C7-1F47-ECD5-20D1-0B7D1D8DD7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666750</xdr:colOff>
      <xdr:row>17</xdr:row>
      <xdr:rowOff>85725</xdr:rowOff>
    </xdr:from>
    <xdr:to>
      <xdr:col>17</xdr:col>
      <xdr:colOff>438150</xdr:colOff>
      <xdr:row>30</xdr:row>
      <xdr:rowOff>104775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009E861-5789-4CFD-B53F-01E1EEC90A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214312</xdr:colOff>
      <xdr:row>2</xdr:row>
      <xdr:rowOff>200025</xdr:rowOff>
    </xdr:from>
    <xdr:to>
      <xdr:col>18</xdr:col>
      <xdr:colOff>671512</xdr:colOff>
      <xdr:row>16</xdr:row>
      <xdr:rowOff>9525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207F4D85-05AF-203F-B37C-023BADC738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219075</xdr:colOff>
      <xdr:row>17</xdr:row>
      <xdr:rowOff>19050</xdr:rowOff>
    </xdr:from>
    <xdr:to>
      <xdr:col>18</xdr:col>
      <xdr:colOff>676275</xdr:colOff>
      <xdr:row>30</xdr:row>
      <xdr:rowOff>38100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98AA286D-A1CD-4282-9428-04B9817B2E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47625</xdr:colOff>
      <xdr:row>3</xdr:row>
      <xdr:rowOff>9525</xdr:rowOff>
    </xdr:from>
    <xdr:to>
      <xdr:col>17</xdr:col>
      <xdr:colOff>504825</xdr:colOff>
      <xdr:row>16</xdr:row>
      <xdr:rowOff>28575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B5FAFD64-87A0-47BB-AEA2-2169A3C4FD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9525</xdr:colOff>
      <xdr:row>17</xdr:row>
      <xdr:rowOff>180975</xdr:rowOff>
    </xdr:from>
    <xdr:to>
      <xdr:col>17</xdr:col>
      <xdr:colOff>466725</xdr:colOff>
      <xdr:row>30</xdr:row>
      <xdr:rowOff>200025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5FB6E29-9F08-45CD-AC96-22F00FE88D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</xdr:row>
      <xdr:rowOff>0</xdr:rowOff>
    </xdr:from>
    <xdr:to>
      <xdr:col>18</xdr:col>
      <xdr:colOff>457200</xdr:colOff>
      <xdr:row>16</xdr:row>
      <xdr:rowOff>19050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3CDD65E-5A88-4126-9CCF-D554130391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19050</xdr:colOff>
      <xdr:row>17</xdr:row>
      <xdr:rowOff>0</xdr:rowOff>
    </xdr:from>
    <xdr:to>
      <xdr:col>18</xdr:col>
      <xdr:colOff>476250</xdr:colOff>
      <xdr:row>30</xdr:row>
      <xdr:rowOff>19050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79F0DBFA-95C7-4F24-977B-30EA911E31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workbookViewId="0"/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FA93B-E59D-4734-AEB2-DCFDC9E63C39}">
  <dimension ref="A1:Y80"/>
  <sheetViews>
    <sheetView tabSelected="1" workbookViewId="0"/>
  </sheetViews>
  <sheetFormatPr defaultRowHeight="16.5" x14ac:dyDescent="0.3"/>
  <cols>
    <col min="2" max="3" width="9" style="1"/>
    <col min="9" max="9" width="9" style="1"/>
  </cols>
  <sheetData>
    <row r="1" spans="1:25" x14ac:dyDescent="0.3">
      <c r="B1" s="1" t="s">
        <v>0</v>
      </c>
      <c r="C1" s="1" t="s">
        <v>1</v>
      </c>
      <c r="D1" t="s">
        <v>14</v>
      </c>
      <c r="T1" s="2" t="s">
        <v>8</v>
      </c>
      <c r="U1" t="s">
        <v>9</v>
      </c>
      <c r="V1" t="s">
        <v>7</v>
      </c>
      <c r="Y1" t="s">
        <v>15</v>
      </c>
    </row>
    <row r="2" spans="1:25" x14ac:dyDescent="0.3">
      <c r="A2">
        <v>2</v>
      </c>
      <c r="B2" s="1">
        <v>0.122784</v>
      </c>
      <c r="C2" s="1">
        <v>122597</v>
      </c>
      <c r="D2">
        <f>C2-Equation_Sheet!$B$2</f>
        <v>21272</v>
      </c>
      <c r="E2">
        <f>MIN(B:B)</f>
        <v>-4.1283E-2</v>
      </c>
      <c r="F2">
        <f>E3-E2</f>
        <v>0.16506700000000002</v>
      </c>
      <c r="H2">
        <f>(B2-$E$2)/$F$2</f>
        <v>0.99394185391386525</v>
      </c>
      <c r="I2" s="1">
        <f>D2/$V$2</f>
        <v>1.1991078928896926</v>
      </c>
      <c r="T2">
        <f>0.5+0.15</f>
        <v>0.65</v>
      </c>
      <c r="U2">
        <f>T2*Equation_Sheet!$D$2</f>
        <v>170.16960206944714</v>
      </c>
      <c r="V2">
        <f>(Equation_Sheet!$E$2*'0.5'!U2^2)/2</f>
        <v>17739.854875558591</v>
      </c>
      <c r="Y2">
        <v>0.38993800000000001</v>
      </c>
    </row>
    <row r="3" spans="1:25" x14ac:dyDescent="0.3">
      <c r="A3">
        <v>2</v>
      </c>
      <c r="B3" s="1">
        <v>0.121572</v>
      </c>
      <c r="C3" s="1">
        <v>114527</v>
      </c>
      <c r="D3">
        <f>C3-Equation_Sheet!$B$2</f>
        <v>13202</v>
      </c>
      <c r="E3">
        <f>MAX(B:B)</f>
        <v>0.12378400000000001</v>
      </c>
      <c r="H3">
        <f t="shared" ref="H3:H66" si="0">(B3-$E$2)/$F$2</f>
        <v>0.9865993808574699</v>
      </c>
      <c r="I3" s="1">
        <f t="shared" ref="I3:I66" si="1">D3/$V$2</f>
        <v>0.74420000009071641</v>
      </c>
      <c r="Y3">
        <v>-2.7979299999999999E-2</v>
      </c>
    </row>
    <row r="4" spans="1:25" x14ac:dyDescent="0.3">
      <c r="A4">
        <v>2</v>
      </c>
      <c r="B4" s="1">
        <v>0.12010800000000001</v>
      </c>
      <c r="C4" s="1">
        <v>103040</v>
      </c>
      <c r="D4">
        <f>C4-Equation_Sheet!$B$2</f>
        <v>1715</v>
      </c>
      <c r="H4">
        <f t="shared" si="0"/>
        <v>0.97773025498736865</v>
      </c>
      <c r="I4" s="1">
        <f t="shared" si="1"/>
        <v>9.6674973500649811E-2</v>
      </c>
      <c r="Y4">
        <v>0.242012</v>
      </c>
    </row>
    <row r="5" spans="1:25" x14ac:dyDescent="0.3">
      <c r="A5">
        <v>2</v>
      </c>
      <c r="B5" s="1">
        <v>0.118344</v>
      </c>
      <c r="C5" s="1">
        <v>110365</v>
      </c>
      <c r="D5">
        <f>C5-Equation_Sheet!$B$2</f>
        <v>9040</v>
      </c>
      <c r="H5">
        <f t="shared" si="0"/>
        <v>0.96704368529142715</v>
      </c>
      <c r="I5" s="1">
        <f t="shared" si="1"/>
        <v>0.50958703232995584</v>
      </c>
      <c r="Y5">
        <v>3.1443499999999999E-2</v>
      </c>
    </row>
    <row r="6" spans="1:25" x14ac:dyDescent="0.3">
      <c r="A6">
        <v>2</v>
      </c>
      <c r="B6" s="1">
        <v>0.11623</v>
      </c>
      <c r="C6" s="1">
        <v>104171</v>
      </c>
      <c r="D6">
        <f>C6-Equation_Sheet!$B$2</f>
        <v>2846</v>
      </c>
      <c r="H6">
        <f t="shared" si="0"/>
        <v>0.95423676446533834</v>
      </c>
      <c r="I6" s="1">
        <f t="shared" si="1"/>
        <v>0.16042972278883344</v>
      </c>
      <c r="Y6">
        <v>0.16570499999999999</v>
      </c>
    </row>
    <row r="7" spans="1:25" x14ac:dyDescent="0.3">
      <c r="A7">
        <v>2</v>
      </c>
      <c r="B7" s="1">
        <v>0.113707</v>
      </c>
      <c r="C7" s="1">
        <v>103119</v>
      </c>
      <c r="D7">
        <f>C7-Equation_Sheet!$B$2</f>
        <v>1794</v>
      </c>
      <c r="H7">
        <f t="shared" si="0"/>
        <v>0.93895206189002045</v>
      </c>
      <c r="I7" s="1">
        <f t="shared" si="1"/>
        <v>0.101128223008843</v>
      </c>
      <c r="Y7">
        <v>5.21755E-2</v>
      </c>
    </row>
    <row r="8" spans="1:25" x14ac:dyDescent="0.3">
      <c r="A8">
        <v>2</v>
      </c>
      <c r="B8" s="1">
        <v>0.11071300000000001</v>
      </c>
      <c r="C8" s="1">
        <v>103939</v>
      </c>
      <c r="D8">
        <f>C8-Equation_Sheet!$B$2</f>
        <v>2614</v>
      </c>
      <c r="H8">
        <f t="shared" si="0"/>
        <v>0.92081397250813313</v>
      </c>
      <c r="I8" s="1">
        <f t="shared" si="1"/>
        <v>0.14735182549894962</v>
      </c>
      <c r="Y8">
        <v>3.2894399999999997E-2</v>
      </c>
    </row>
    <row r="9" spans="1:25" x14ac:dyDescent="0.3">
      <c r="A9">
        <v>2</v>
      </c>
      <c r="B9" s="1">
        <v>0.107186</v>
      </c>
      <c r="C9" s="1">
        <v>101858</v>
      </c>
      <c r="D9">
        <f>C9-Equation_Sheet!$B$2</f>
        <v>533</v>
      </c>
      <c r="H9">
        <f t="shared" si="0"/>
        <v>0.8994468912623359</v>
      </c>
      <c r="I9" s="1">
        <f t="shared" si="1"/>
        <v>3.00453416185693E-2</v>
      </c>
      <c r="Y9">
        <v>4.7924300000000003E-2</v>
      </c>
    </row>
    <row r="10" spans="1:25" x14ac:dyDescent="0.3">
      <c r="A10">
        <v>2</v>
      </c>
      <c r="B10" s="1">
        <v>0.103065</v>
      </c>
      <c r="C10" s="1">
        <v>102535</v>
      </c>
      <c r="D10">
        <f>C10-Equation_Sheet!$B$2</f>
        <v>1210</v>
      </c>
      <c r="H10">
        <f t="shared" si="0"/>
        <v>0.87448127124137465</v>
      </c>
      <c r="I10" s="1">
        <f t="shared" si="1"/>
        <v>6.8207998796376831E-2</v>
      </c>
      <c r="Y10">
        <v>9.7655899999999993E-3</v>
      </c>
    </row>
    <row r="11" spans="1:25" x14ac:dyDescent="0.3">
      <c r="A11">
        <v>2</v>
      </c>
      <c r="B11" s="1">
        <v>9.8296599999999998E-2</v>
      </c>
      <c r="C11" s="1">
        <v>101923</v>
      </c>
      <c r="D11">
        <f>C11-Equation_Sheet!$B$2</f>
        <v>598</v>
      </c>
      <c r="H11">
        <f t="shared" si="0"/>
        <v>0.84559360744424983</v>
      </c>
      <c r="I11" s="1">
        <f t="shared" si="1"/>
        <v>3.3709407669614333E-2</v>
      </c>
      <c r="Y11">
        <v>7.45658E-3</v>
      </c>
    </row>
    <row r="12" spans="1:25" x14ac:dyDescent="0.3">
      <c r="A12">
        <v>2</v>
      </c>
      <c r="B12" s="1">
        <v>9.2838599999999993E-2</v>
      </c>
      <c r="C12" s="1">
        <v>101084</v>
      </c>
      <c r="D12">
        <f>C12-Equation_Sheet!$B$2</f>
        <v>-241</v>
      </c>
      <c r="H12">
        <f t="shared" si="0"/>
        <v>0.81252824610612651</v>
      </c>
      <c r="I12" s="1">
        <f t="shared" si="1"/>
        <v>-1.3585229512336212E-2</v>
      </c>
      <c r="Y12">
        <v>9.8665699999999999E-3</v>
      </c>
    </row>
    <row r="13" spans="1:25" x14ac:dyDescent="0.3">
      <c r="A13">
        <v>2</v>
      </c>
      <c r="B13" s="1">
        <v>8.6670899999999995E-2</v>
      </c>
      <c r="C13" s="1">
        <v>101060</v>
      </c>
      <c r="D13">
        <f>C13-Equation_Sheet!$B$2</f>
        <v>-265</v>
      </c>
      <c r="H13">
        <f t="shared" si="0"/>
        <v>0.77516341849067349</v>
      </c>
      <c r="I13" s="1">
        <f t="shared" si="1"/>
        <v>-1.4938115438875917E-2</v>
      </c>
      <c r="Y13">
        <v>4.4567500000000003E-2</v>
      </c>
    </row>
    <row r="14" spans="1:25" x14ac:dyDescent="0.3">
      <c r="A14">
        <v>2</v>
      </c>
      <c r="B14" s="1">
        <v>7.9800399999999994E-2</v>
      </c>
      <c r="C14" s="1">
        <v>100327</v>
      </c>
      <c r="D14">
        <f>C14-Equation_Sheet!$B$2</f>
        <v>-998</v>
      </c>
      <c r="H14">
        <f t="shared" si="0"/>
        <v>0.73354092580588481</v>
      </c>
      <c r="I14" s="1">
        <f t="shared" si="1"/>
        <v>-5.62575064452761E-2</v>
      </c>
      <c r="Y14">
        <v>-8.1514699999999995E-2</v>
      </c>
    </row>
    <row r="15" spans="1:25" x14ac:dyDescent="0.3">
      <c r="A15">
        <v>2</v>
      </c>
      <c r="B15" s="1">
        <v>7.2268399999999997E-2</v>
      </c>
      <c r="C15" s="1">
        <v>99893.9</v>
      </c>
      <c r="D15">
        <f>C15-Equation_Sheet!$B$2</f>
        <v>-1431.1000000000058</v>
      </c>
      <c r="H15">
        <f t="shared" si="0"/>
        <v>0.6879109694851181</v>
      </c>
      <c r="I15" s="1">
        <f t="shared" si="1"/>
        <v>-8.0671460394624195E-2</v>
      </c>
      <c r="Y15">
        <v>-8.7152400000000005E-2</v>
      </c>
    </row>
    <row r="16" spans="1:25" x14ac:dyDescent="0.3">
      <c r="A16">
        <v>2</v>
      </c>
      <c r="B16" s="1">
        <v>6.4154799999999998E-2</v>
      </c>
      <c r="C16" s="1">
        <v>99428.4</v>
      </c>
      <c r="D16">
        <f>C16-Equation_Sheet!$B$2</f>
        <v>-1896.6000000000058</v>
      </c>
      <c r="H16">
        <f t="shared" si="0"/>
        <v>0.63875759540065535</v>
      </c>
      <c r="I16" s="1">
        <f t="shared" si="1"/>
        <v>-0.10691181034480057</v>
      </c>
      <c r="Y16">
        <v>-6.4282500000000006E-2</v>
      </c>
    </row>
    <row r="17" spans="1:25" x14ac:dyDescent="0.3">
      <c r="A17">
        <v>2</v>
      </c>
      <c r="B17" s="1">
        <v>5.5578200000000001E-2</v>
      </c>
      <c r="C17" s="1">
        <v>98901</v>
      </c>
      <c r="D17">
        <f>C17-Equation_Sheet!$B$2</f>
        <v>-2424</v>
      </c>
      <c r="H17">
        <f t="shared" si="0"/>
        <v>0.58679929967831246</v>
      </c>
      <c r="I17" s="1">
        <f t="shared" si="1"/>
        <v>-0.13664147858051029</v>
      </c>
      <c r="Y17">
        <v>-6.1821599999999997E-2</v>
      </c>
    </row>
    <row r="18" spans="1:25" x14ac:dyDescent="0.3">
      <c r="A18">
        <v>2</v>
      </c>
      <c r="B18" s="1">
        <v>4.6691799999999999E-2</v>
      </c>
      <c r="C18" s="1">
        <v>98506.4</v>
      </c>
      <c r="D18">
        <f>C18-Equation_Sheet!$B$2</f>
        <v>-2818.6000000000058</v>
      </c>
      <c r="H18">
        <f t="shared" si="0"/>
        <v>0.53296419029848474</v>
      </c>
      <c r="I18" s="1">
        <f t="shared" si="1"/>
        <v>-0.15888517802270094</v>
      </c>
      <c r="Y18">
        <v>-1.8749499999999999E-2</v>
      </c>
    </row>
    <row r="19" spans="1:25" x14ac:dyDescent="0.3">
      <c r="A19">
        <v>2</v>
      </c>
      <c r="B19" s="1">
        <v>3.76738E-2</v>
      </c>
      <c r="C19" s="1">
        <v>98033.4</v>
      </c>
      <c r="D19">
        <f>C19-Equation_Sheet!$B$2</f>
        <v>-3291.6000000000058</v>
      </c>
      <c r="H19">
        <f t="shared" si="0"/>
        <v>0.47833182889372183</v>
      </c>
      <c r="I19" s="1">
        <f t="shared" si="1"/>
        <v>-0.18554830482492096</v>
      </c>
      <c r="Y19">
        <v>-1.7155199999999999E-2</v>
      </c>
    </row>
    <row r="20" spans="1:25" x14ac:dyDescent="0.3">
      <c r="A20">
        <v>2</v>
      </c>
      <c r="B20" s="1">
        <v>2.8714E-2</v>
      </c>
      <c r="C20" s="1">
        <v>97568.8</v>
      </c>
      <c r="D20">
        <f>C20-Equation_Sheet!$B$2</f>
        <v>-3756.1999999999971</v>
      </c>
      <c r="H20">
        <f t="shared" si="0"/>
        <v>0.42405205159117204</v>
      </c>
      <c r="I20" s="1">
        <f t="shared" si="1"/>
        <v>-0.21173792155285162</v>
      </c>
      <c r="Y20">
        <v>-4.8666400000000002E-3</v>
      </c>
    </row>
    <row r="21" spans="1:25" x14ac:dyDescent="0.3">
      <c r="A21">
        <v>2</v>
      </c>
      <c r="B21" s="1">
        <v>1.9998499999999999E-2</v>
      </c>
      <c r="C21" s="1">
        <v>97206.8</v>
      </c>
      <c r="D21">
        <f>C21-Equation_Sheet!$B$2</f>
        <v>-4118.1999999999971</v>
      </c>
      <c r="H21">
        <f t="shared" si="0"/>
        <v>0.37125227937746486</v>
      </c>
      <c r="I21" s="1">
        <f t="shared" si="1"/>
        <v>-0.23214395094482551</v>
      </c>
      <c r="Y21">
        <v>-4.4250499999999998E-3</v>
      </c>
    </row>
    <row r="22" spans="1:25" x14ac:dyDescent="0.3">
      <c r="A22">
        <v>2</v>
      </c>
      <c r="B22" s="1">
        <v>1.1694700000000001E-2</v>
      </c>
      <c r="C22" s="1">
        <v>96922</v>
      </c>
      <c r="D22">
        <f>C22-Equation_Sheet!$B$2</f>
        <v>-4403</v>
      </c>
      <c r="H22">
        <f t="shared" si="0"/>
        <v>0.32094664590741939</v>
      </c>
      <c r="I22" s="1">
        <f t="shared" si="1"/>
        <v>-0.24819819727309683</v>
      </c>
      <c r="Y22">
        <v>-1.83013E-2</v>
      </c>
    </row>
    <row r="23" spans="1:25" x14ac:dyDescent="0.3">
      <c r="A23">
        <v>2</v>
      </c>
      <c r="B23" s="1">
        <v>3.9396300000000004E-3</v>
      </c>
      <c r="C23" s="1">
        <v>96441.8</v>
      </c>
      <c r="D23">
        <f>C23-Equation_Sheet!$B$2</f>
        <v>-4883.1999999999971</v>
      </c>
      <c r="H23">
        <f t="shared" si="0"/>
        <v>0.27396529893921856</v>
      </c>
      <c r="I23" s="1">
        <f t="shared" si="1"/>
        <v>-0.27526718985327864</v>
      </c>
      <c r="Y23">
        <v>-2.6232800000000001E-2</v>
      </c>
    </row>
    <row r="24" spans="1:25" x14ac:dyDescent="0.3">
      <c r="A24">
        <v>2</v>
      </c>
      <c r="B24" s="1">
        <v>-3.1673000000000001E-3</v>
      </c>
      <c r="C24" s="1">
        <v>96536.7</v>
      </c>
      <c r="D24">
        <f>C24-Equation_Sheet!$B$2</f>
        <v>-4788.3000000000029</v>
      </c>
      <c r="H24">
        <f t="shared" si="0"/>
        <v>0.23091047877528517</v>
      </c>
      <c r="I24" s="1">
        <f t="shared" si="1"/>
        <v>-0.26991765341875318</v>
      </c>
      <c r="Y24">
        <v>-3.4766100000000001E-2</v>
      </c>
    </row>
    <row r="25" spans="1:25" x14ac:dyDescent="0.3">
      <c r="A25">
        <v>2</v>
      </c>
      <c r="B25" s="1">
        <v>-9.5662899999999999E-3</v>
      </c>
      <c r="C25" s="1">
        <v>96392.8</v>
      </c>
      <c r="D25">
        <f>C25-Equation_Sheet!$B$2</f>
        <v>-4932.1999999999971</v>
      </c>
      <c r="H25">
        <f t="shared" si="0"/>
        <v>0.19214446255156997</v>
      </c>
      <c r="I25" s="1">
        <f t="shared" si="1"/>
        <v>-0.27802933195329721</v>
      </c>
      <c r="Y25">
        <v>-4.44342E-2</v>
      </c>
    </row>
    <row r="26" spans="1:25" x14ac:dyDescent="0.3">
      <c r="A26">
        <v>2</v>
      </c>
      <c r="B26" s="1">
        <v>-1.52348E-2</v>
      </c>
      <c r="C26" s="1">
        <v>96628.1</v>
      </c>
      <c r="D26">
        <f>C26-Equation_Sheet!$B$2</f>
        <v>-4696.8999999999942</v>
      </c>
      <c r="H26">
        <f t="shared" si="0"/>
        <v>0.15780380088085444</v>
      </c>
      <c r="I26" s="1">
        <f t="shared" si="1"/>
        <v>-0.26476541284851401</v>
      </c>
      <c r="Y26">
        <v>-0.18550700000000001</v>
      </c>
    </row>
    <row r="27" spans="1:25" x14ac:dyDescent="0.3">
      <c r="A27">
        <v>2</v>
      </c>
      <c r="B27" s="1">
        <v>-2.0181899999999999E-2</v>
      </c>
      <c r="C27" s="1">
        <v>96570.6</v>
      </c>
      <c r="D27">
        <f>C27-Equation_Sheet!$B$2</f>
        <v>-4754.3999999999942</v>
      </c>
      <c r="H27">
        <f t="shared" si="0"/>
        <v>0.12783354637813735</v>
      </c>
      <c r="I27" s="1">
        <f t="shared" si="1"/>
        <v>-0.26800670204751537</v>
      </c>
      <c r="Y27">
        <v>-0.199353</v>
      </c>
    </row>
    <row r="28" spans="1:25" x14ac:dyDescent="0.3">
      <c r="A28">
        <v>2</v>
      </c>
      <c r="B28" s="1">
        <v>-2.44406E-2</v>
      </c>
      <c r="C28" s="1">
        <v>96878.2</v>
      </c>
      <c r="D28">
        <f>C28-Equation_Sheet!$B$2</f>
        <v>-4446.8000000000029</v>
      </c>
      <c r="H28">
        <f t="shared" si="0"/>
        <v>0.10203371964111542</v>
      </c>
      <c r="I28" s="1">
        <f t="shared" si="1"/>
        <v>-0.25066721408903198</v>
      </c>
      <c r="Y28">
        <v>-0.172015</v>
      </c>
    </row>
    <row r="29" spans="1:25" x14ac:dyDescent="0.3">
      <c r="A29">
        <v>2</v>
      </c>
      <c r="B29" s="1">
        <v>-2.8060600000000002E-2</v>
      </c>
      <c r="C29" s="1">
        <v>97818.2</v>
      </c>
      <c r="D29">
        <f>C29-Equation_Sheet!$B$2</f>
        <v>-3506.8000000000029</v>
      </c>
      <c r="H29">
        <f t="shared" si="0"/>
        <v>8.0103230809307716E-2</v>
      </c>
      <c r="I29" s="1">
        <f t="shared" si="1"/>
        <v>-0.19767918196622683</v>
      </c>
      <c r="Y29">
        <v>-0.157411</v>
      </c>
    </row>
    <row r="30" spans="1:25" x14ac:dyDescent="0.3">
      <c r="A30">
        <v>2</v>
      </c>
      <c r="B30" s="1">
        <v>-3.1100800000000001E-2</v>
      </c>
      <c r="C30" s="1">
        <v>97952.5</v>
      </c>
      <c r="D30">
        <f>C30-Equation_Sheet!$B$2</f>
        <v>-3372.5</v>
      </c>
      <c r="H30">
        <f t="shared" si="0"/>
        <v>6.1685255078240943E-2</v>
      </c>
      <c r="I30" s="1">
        <f t="shared" si="1"/>
        <v>-0.19010865780229824</v>
      </c>
      <c r="Y30">
        <v>-0.14104800000000001</v>
      </c>
    </row>
    <row r="31" spans="1:25" x14ac:dyDescent="0.3">
      <c r="A31">
        <v>2</v>
      </c>
      <c r="B31" s="1">
        <v>-3.3623399999999998E-2</v>
      </c>
      <c r="C31" s="1">
        <v>100302</v>
      </c>
      <c r="D31">
        <f>C31-Equation_Sheet!$B$2</f>
        <v>-1023</v>
      </c>
      <c r="H31">
        <f t="shared" si="0"/>
        <v>4.6402975761357518E-2</v>
      </c>
      <c r="I31" s="1">
        <f t="shared" si="1"/>
        <v>-5.7666762618754953E-2</v>
      </c>
      <c r="Y31">
        <v>-0.12612200000000001</v>
      </c>
    </row>
    <row r="32" spans="1:25" x14ac:dyDescent="0.3">
      <c r="A32">
        <v>2</v>
      </c>
      <c r="B32" s="1">
        <v>-3.5689600000000002E-2</v>
      </c>
      <c r="C32" s="1">
        <v>100389</v>
      </c>
      <c r="D32">
        <f>C32-Equation_Sheet!$B$2</f>
        <v>-936</v>
      </c>
      <c r="H32">
        <f t="shared" si="0"/>
        <v>3.3885634318185934E-2</v>
      </c>
      <c r="I32" s="1">
        <f t="shared" si="1"/>
        <v>-5.2762551135048526E-2</v>
      </c>
      <c r="Y32">
        <v>-0.111678</v>
      </c>
    </row>
    <row r="33" spans="1:25" x14ac:dyDescent="0.3">
      <c r="A33">
        <v>2</v>
      </c>
      <c r="B33" s="1">
        <v>-3.7356300000000002E-2</v>
      </c>
      <c r="C33" s="1">
        <v>103549</v>
      </c>
      <c r="D33">
        <f>C33-Equation_Sheet!$B$2</f>
        <v>2224</v>
      </c>
      <c r="H33">
        <f t="shared" si="0"/>
        <v>2.3788522236425195E-2</v>
      </c>
      <c r="I33" s="1">
        <f t="shared" si="1"/>
        <v>0.1253674291926794</v>
      </c>
      <c r="Y33">
        <v>-9.4928100000000001E-2</v>
      </c>
    </row>
    <row r="34" spans="1:25" x14ac:dyDescent="0.3">
      <c r="A34">
        <v>2</v>
      </c>
      <c r="B34" s="1">
        <v>-3.86735E-2</v>
      </c>
      <c r="C34" s="1">
        <v>106771</v>
      </c>
      <c r="D34">
        <f>C34-Equation_Sheet!$B$2</f>
        <v>5446</v>
      </c>
      <c r="H34">
        <f t="shared" si="0"/>
        <v>1.5808732211768557E-2</v>
      </c>
      <c r="I34" s="1">
        <f t="shared" si="1"/>
        <v>0.30699236483063491</v>
      </c>
      <c r="Y34">
        <v>-8.1257700000000002E-2</v>
      </c>
    </row>
    <row r="35" spans="1:25" x14ac:dyDescent="0.3">
      <c r="A35">
        <v>2</v>
      </c>
      <c r="B35" s="1">
        <v>-3.9683499999999997E-2</v>
      </c>
      <c r="C35" s="1">
        <v>108646</v>
      </c>
      <c r="D35">
        <f>C35-Equation_Sheet!$B$2</f>
        <v>7321</v>
      </c>
      <c r="H35">
        <f t="shared" si="0"/>
        <v>9.6900046647725082E-3</v>
      </c>
      <c r="I35" s="1">
        <f t="shared" si="1"/>
        <v>0.41268657784154938</v>
      </c>
      <c r="Y35">
        <v>-8.6098400000000005E-2</v>
      </c>
    </row>
    <row r="36" spans="1:25" x14ac:dyDescent="0.3">
      <c r="A36">
        <v>2</v>
      </c>
      <c r="B36" s="1">
        <v>-4.0419900000000002E-2</v>
      </c>
      <c r="C36" s="1">
        <v>113089</v>
      </c>
      <c r="D36">
        <f>C36-Equation_Sheet!$B$2</f>
        <v>11764</v>
      </c>
      <c r="H36">
        <f t="shared" si="0"/>
        <v>5.2287858869428687E-3</v>
      </c>
      <c r="I36" s="1">
        <f t="shared" si="1"/>
        <v>0.66313958499221237</v>
      </c>
      <c r="Y36">
        <v>-9.0412300000000001E-2</v>
      </c>
    </row>
    <row r="37" spans="1:25" x14ac:dyDescent="0.3">
      <c r="A37">
        <v>2</v>
      </c>
      <c r="B37" s="1">
        <v>-4.0884499999999997E-2</v>
      </c>
      <c r="C37" s="1">
        <v>108012</v>
      </c>
      <c r="D37">
        <f>C37-Equation_Sheet!$B$2</f>
        <v>6687</v>
      </c>
      <c r="H37">
        <f t="shared" si="0"/>
        <v>2.4141712153247044E-3</v>
      </c>
      <c r="I37" s="1">
        <f t="shared" si="1"/>
        <v>0.3769478412821255</v>
      </c>
      <c r="Y37">
        <v>2.2179899999999999E-2</v>
      </c>
    </row>
    <row r="38" spans="1:25" x14ac:dyDescent="0.3">
      <c r="A38">
        <v>2</v>
      </c>
      <c r="B38" s="1">
        <v>-4.1144699999999999E-2</v>
      </c>
      <c r="C38" s="1">
        <v>107637</v>
      </c>
      <c r="D38">
        <f>C38-Equation_Sheet!$B$2</f>
        <v>6312</v>
      </c>
      <c r="H38">
        <f t="shared" si="0"/>
        <v>8.3784160371243744E-4</v>
      </c>
      <c r="I38" s="1">
        <f t="shared" si="1"/>
        <v>0.35580899867994259</v>
      </c>
      <c r="Y38">
        <v>1.0969899999999999E-2</v>
      </c>
    </row>
    <row r="39" spans="1:25" x14ac:dyDescent="0.3">
      <c r="A39">
        <v>2</v>
      </c>
      <c r="B39" s="1">
        <v>-4.1261199999999998E-2</v>
      </c>
      <c r="C39" s="1">
        <v>111901</v>
      </c>
      <c r="D39">
        <f>C39-Equation_Sheet!$B$2</f>
        <v>10576</v>
      </c>
      <c r="H39">
        <f t="shared" si="0"/>
        <v>1.3206758467775129E-4</v>
      </c>
      <c r="I39" s="1">
        <f t="shared" si="1"/>
        <v>0.59617173162849701</v>
      </c>
      <c r="Y39">
        <v>0.35125899999999999</v>
      </c>
    </row>
    <row r="40" spans="1:25" x14ac:dyDescent="0.3">
      <c r="A40">
        <v>2</v>
      </c>
      <c r="B40" s="1">
        <v>-4.1283E-2</v>
      </c>
      <c r="C40" s="1">
        <v>108952</v>
      </c>
      <c r="D40">
        <f>C40-Equation_Sheet!$B$2</f>
        <v>7627</v>
      </c>
      <c r="H40">
        <f t="shared" si="0"/>
        <v>0</v>
      </c>
      <c r="I40" s="1">
        <f t="shared" si="1"/>
        <v>0.42993587340493067</v>
      </c>
      <c r="Y40">
        <v>0.24596999999999999</v>
      </c>
    </row>
    <row r="41" spans="1:25" x14ac:dyDescent="0.3">
      <c r="Y41">
        <v>-0.23435900000000001</v>
      </c>
    </row>
    <row r="42" spans="1:25" x14ac:dyDescent="0.3">
      <c r="A42">
        <v>1</v>
      </c>
      <c r="B42" s="1">
        <v>0.12378400000000001</v>
      </c>
      <c r="C42" s="1">
        <v>99798.7</v>
      </c>
      <c r="D42">
        <f>C42-Equation_Sheet!$B$2</f>
        <v>-1526.3000000000029</v>
      </c>
      <c r="H42">
        <f t="shared" si="0"/>
        <v>1</v>
      </c>
      <c r="I42" s="1">
        <f t="shared" si="1"/>
        <v>-8.6037907903231528E-2</v>
      </c>
      <c r="Y42">
        <v>-0.17415700000000001</v>
      </c>
    </row>
    <row r="43" spans="1:25" x14ac:dyDescent="0.3">
      <c r="A43">
        <v>1</v>
      </c>
      <c r="B43" s="1">
        <v>0.122822</v>
      </c>
      <c r="C43" s="1">
        <v>120487</v>
      </c>
      <c r="D43">
        <f>C43-Equation_Sheet!$B$2</f>
        <v>19162</v>
      </c>
      <c r="H43">
        <f t="shared" si="0"/>
        <v>0.99417206346513831</v>
      </c>
      <c r="I43" s="1">
        <f t="shared" si="1"/>
        <v>1.0801666718480767</v>
      </c>
      <c r="Y43">
        <v>-0.244758</v>
      </c>
    </row>
    <row r="44" spans="1:25" x14ac:dyDescent="0.3">
      <c r="A44">
        <v>1</v>
      </c>
      <c r="B44" s="1">
        <v>0.121658</v>
      </c>
      <c r="C44" s="1">
        <v>114743</v>
      </c>
      <c r="D44">
        <f>C44-Equation_Sheet!$B$2</f>
        <v>13418</v>
      </c>
      <c r="H44">
        <f t="shared" si="0"/>
        <v>0.98712038142087744</v>
      </c>
      <c r="I44" s="1">
        <f t="shared" si="1"/>
        <v>0.75637597342957386</v>
      </c>
      <c r="Y44">
        <v>-0.25276100000000001</v>
      </c>
    </row>
    <row r="45" spans="1:25" x14ac:dyDescent="0.3">
      <c r="A45">
        <v>1</v>
      </c>
      <c r="B45" s="1">
        <v>0.12024899999999999</v>
      </c>
      <c r="C45" s="1">
        <v>102133</v>
      </c>
      <c r="D45">
        <f>C45-Equation_Sheet!$B$2</f>
        <v>808</v>
      </c>
      <c r="H45">
        <f t="shared" si="0"/>
        <v>0.97858445358551371</v>
      </c>
      <c r="I45" s="1">
        <f t="shared" si="1"/>
        <v>4.5547159526836759E-2</v>
      </c>
      <c r="Y45">
        <v>-0.23810600000000001</v>
      </c>
    </row>
    <row r="46" spans="1:25" x14ac:dyDescent="0.3">
      <c r="A46">
        <v>1</v>
      </c>
      <c r="B46" s="1">
        <v>0.11855300000000001</v>
      </c>
      <c r="C46" s="1">
        <v>109905</v>
      </c>
      <c r="D46">
        <f>C46-Equation_Sheet!$B$2</f>
        <v>8580</v>
      </c>
      <c r="H46">
        <f t="shared" si="0"/>
        <v>0.96830983782342916</v>
      </c>
      <c r="I46" s="1">
        <f t="shared" si="1"/>
        <v>0.4836567187379448</v>
      </c>
      <c r="Y46">
        <v>4.0765700000000002E-2</v>
      </c>
    </row>
    <row r="47" spans="1:25" x14ac:dyDescent="0.3">
      <c r="A47">
        <v>1</v>
      </c>
      <c r="B47" s="1">
        <v>0.116517</v>
      </c>
      <c r="C47" s="1">
        <v>103261</v>
      </c>
      <c r="D47">
        <f>C47-Equation_Sheet!$B$2</f>
        <v>1936</v>
      </c>
      <c r="H47">
        <f t="shared" si="0"/>
        <v>0.95597545239205883</v>
      </c>
      <c r="I47" s="1">
        <f t="shared" si="1"/>
        <v>0.10913279807420292</v>
      </c>
      <c r="Y47">
        <v>9.9826899999999996E-2</v>
      </c>
    </row>
    <row r="48" spans="1:25" x14ac:dyDescent="0.3">
      <c r="A48">
        <v>1</v>
      </c>
      <c r="B48" s="1">
        <v>0.11408699999999999</v>
      </c>
      <c r="C48" s="1">
        <v>104097</v>
      </c>
      <c r="D48">
        <f>C48-Equation_Sheet!$B$2</f>
        <v>2772</v>
      </c>
      <c r="H48">
        <f t="shared" si="0"/>
        <v>0.94125415740275153</v>
      </c>
      <c r="I48" s="1">
        <f t="shared" si="1"/>
        <v>0.156258324515336</v>
      </c>
      <c r="Y48">
        <v>-8.3169999999999997E-3</v>
      </c>
    </row>
    <row r="49" spans="1:25" x14ac:dyDescent="0.3">
      <c r="A49">
        <v>1</v>
      </c>
      <c r="B49" s="1">
        <v>0.11120099999999999</v>
      </c>
      <c r="C49" s="1">
        <v>103756</v>
      </c>
      <c r="D49">
        <f>C49-Equation_Sheet!$B$2</f>
        <v>2431</v>
      </c>
      <c r="H49">
        <f t="shared" si="0"/>
        <v>0.9237703477981668</v>
      </c>
      <c r="I49" s="1">
        <f t="shared" si="1"/>
        <v>0.13703607030908435</v>
      </c>
      <c r="Y49">
        <v>-2.3399799999999998E-2</v>
      </c>
    </row>
    <row r="50" spans="1:25" x14ac:dyDescent="0.3">
      <c r="A50">
        <v>1</v>
      </c>
      <c r="B50" s="1">
        <v>0.107798</v>
      </c>
      <c r="C50" s="1">
        <v>101732</v>
      </c>
      <c r="D50">
        <f>C50-Equation_Sheet!$B$2</f>
        <v>407</v>
      </c>
      <c r="H50">
        <f t="shared" si="0"/>
        <v>0.9031544766670504</v>
      </c>
      <c r="I50" s="1">
        <f t="shared" si="1"/>
        <v>2.2942690504235842E-2</v>
      </c>
      <c r="Y50">
        <v>-0.143322</v>
      </c>
    </row>
    <row r="51" spans="1:25" x14ac:dyDescent="0.3">
      <c r="A51">
        <v>1</v>
      </c>
      <c r="B51" s="1">
        <v>0.10381899999999999</v>
      </c>
      <c r="C51" s="1">
        <v>101863</v>
      </c>
      <c r="D51">
        <f>C51-Equation_Sheet!$B$2</f>
        <v>538</v>
      </c>
      <c r="H51">
        <f t="shared" si="0"/>
        <v>0.87904911339032021</v>
      </c>
      <c r="I51" s="1">
        <f t="shared" si="1"/>
        <v>3.0327192853265069E-2</v>
      </c>
      <c r="Y51">
        <v>-0.21288799999999999</v>
      </c>
    </row>
    <row r="52" spans="1:25" x14ac:dyDescent="0.3">
      <c r="A52">
        <v>1</v>
      </c>
      <c r="B52" s="1">
        <v>9.9208299999999999E-2</v>
      </c>
      <c r="C52" s="1">
        <v>100689</v>
      </c>
      <c r="D52">
        <f>C52-Equation_Sheet!$B$2</f>
        <v>-636</v>
      </c>
      <c r="H52">
        <f t="shared" si="0"/>
        <v>0.85111681923097871</v>
      </c>
      <c r="I52" s="1">
        <f t="shared" si="1"/>
        <v>-3.5851477053302203E-2</v>
      </c>
      <c r="Y52">
        <v>-0.219883</v>
      </c>
    </row>
    <row r="53" spans="1:25" x14ac:dyDescent="0.3">
      <c r="A53">
        <v>1</v>
      </c>
      <c r="B53" s="1">
        <v>9.3925599999999998E-2</v>
      </c>
      <c r="C53" s="1">
        <v>100243</v>
      </c>
      <c r="D53">
        <f>C53-Equation_Sheet!$B$2</f>
        <v>-1082</v>
      </c>
      <c r="H53">
        <f t="shared" si="0"/>
        <v>0.81911345090175502</v>
      </c>
      <c r="I53" s="1">
        <f t="shared" si="1"/>
        <v>-6.0992607188165064E-2</v>
      </c>
      <c r="Y53">
        <v>-6.8272399999999997E-2</v>
      </c>
    </row>
    <row r="54" spans="1:25" x14ac:dyDescent="0.3">
      <c r="A54">
        <v>1</v>
      </c>
      <c r="B54" s="1">
        <v>8.7947899999999996E-2</v>
      </c>
      <c r="C54" s="1">
        <v>99621.4</v>
      </c>
      <c r="D54">
        <f>C54-Equation_Sheet!$B$2</f>
        <v>-1703.6000000000058</v>
      </c>
      <c r="H54">
        <f t="shared" si="0"/>
        <v>0.78289967104266733</v>
      </c>
      <c r="I54" s="1">
        <f t="shared" si="1"/>
        <v>-9.6032352685543776E-2</v>
      </c>
      <c r="Y54">
        <v>-5.5520399999999998E-2</v>
      </c>
    </row>
    <row r="55" spans="1:25" x14ac:dyDescent="0.3">
      <c r="A55">
        <v>1</v>
      </c>
      <c r="B55" s="1">
        <v>8.1279299999999999E-2</v>
      </c>
      <c r="C55" s="1">
        <v>99082.3</v>
      </c>
      <c r="D55">
        <f>C55-Equation_Sheet!$B$2</f>
        <v>-2242.6999999999971</v>
      </c>
      <c r="H55">
        <f t="shared" si="0"/>
        <v>0.74250031805266947</v>
      </c>
      <c r="I55" s="1">
        <f t="shared" si="1"/>
        <v>-0.12642155281044143</v>
      </c>
      <c r="Y55">
        <v>-4.1110300000000002E-2</v>
      </c>
    </row>
    <row r="56" spans="1:25" x14ac:dyDescent="0.3">
      <c r="A56">
        <v>1</v>
      </c>
      <c r="B56" s="1">
        <v>7.3956800000000003E-2</v>
      </c>
      <c r="C56" s="1">
        <v>98296.2</v>
      </c>
      <c r="D56">
        <f>C56-Equation_Sheet!$B$2</f>
        <v>-3028.8000000000029</v>
      </c>
      <c r="H56">
        <f t="shared" si="0"/>
        <v>0.69813954333694794</v>
      </c>
      <c r="I56" s="1">
        <f t="shared" si="1"/>
        <v>-0.17073420392931102</v>
      </c>
      <c r="Y56">
        <v>-3.1228599999999999E-2</v>
      </c>
    </row>
    <row r="57" spans="1:25" x14ac:dyDescent="0.3">
      <c r="A57">
        <v>1</v>
      </c>
      <c r="B57" s="1">
        <v>6.6054000000000002E-2</v>
      </c>
      <c r="C57" s="1">
        <v>97600.6</v>
      </c>
      <c r="D57">
        <f>C57-Equation_Sheet!$B$2</f>
        <v>-3724.3999999999942</v>
      </c>
      <c r="H57">
        <f t="shared" si="0"/>
        <v>0.6502632264474425</v>
      </c>
      <c r="I57" s="1">
        <f t="shared" si="1"/>
        <v>-0.20994534770018633</v>
      </c>
      <c r="Y57">
        <v>-1.9827000000000001E-2</v>
      </c>
    </row>
    <row r="58" spans="1:25" x14ac:dyDescent="0.3">
      <c r="A58">
        <v>1</v>
      </c>
      <c r="B58" s="1">
        <v>5.7682400000000002E-2</v>
      </c>
      <c r="C58" s="1">
        <v>96892.2</v>
      </c>
      <c r="D58">
        <f>C58-Equation_Sheet!$B$2</f>
        <v>-4432.8000000000029</v>
      </c>
      <c r="H58">
        <f t="shared" si="0"/>
        <v>0.59954685067275715</v>
      </c>
      <c r="I58" s="1">
        <f t="shared" si="1"/>
        <v>-0.24987803063188382</v>
      </c>
      <c r="Y58">
        <v>0.21564900000000001</v>
      </c>
    </row>
    <row r="59" spans="1:25" x14ac:dyDescent="0.3">
      <c r="A59">
        <v>1</v>
      </c>
      <c r="B59" s="1">
        <v>4.8986799999999997E-2</v>
      </c>
      <c r="C59" s="1">
        <v>96146.4</v>
      </c>
      <c r="D59">
        <f>C59-Equation_Sheet!$B$2</f>
        <v>-5178.6000000000058</v>
      </c>
      <c r="H59">
        <f t="shared" si="0"/>
        <v>0.54686763556616391</v>
      </c>
      <c r="I59" s="1">
        <f t="shared" si="1"/>
        <v>-0.29191896079910534</v>
      </c>
      <c r="Y59">
        <v>0.13420299999999999</v>
      </c>
    </row>
    <row r="60" spans="1:25" x14ac:dyDescent="0.3">
      <c r="A60">
        <v>1</v>
      </c>
      <c r="B60" s="1">
        <v>4.0136400000000003E-2</v>
      </c>
      <c r="C60" s="1">
        <v>95232.7</v>
      </c>
      <c r="D60">
        <f>C60-Equation_Sheet!$B$2</f>
        <v>-6092.3000000000029</v>
      </c>
      <c r="H60">
        <f t="shared" si="0"/>
        <v>0.49325061944543724</v>
      </c>
      <c r="I60" s="1">
        <f t="shared" si="1"/>
        <v>-0.34342445542741057</v>
      </c>
      <c r="Y60">
        <v>0.160103</v>
      </c>
    </row>
    <row r="61" spans="1:25" x14ac:dyDescent="0.3">
      <c r="A61">
        <v>1</v>
      </c>
      <c r="B61" s="1">
        <v>3.1312600000000003E-2</v>
      </c>
      <c r="C61" s="1">
        <v>94444.800000000003</v>
      </c>
      <c r="D61">
        <f>C61-Equation_Sheet!$B$2</f>
        <v>-6880.1999999999971</v>
      </c>
      <c r="H61">
        <f t="shared" si="0"/>
        <v>0.43979475001060175</v>
      </c>
      <c r="I61" s="1">
        <f t="shared" si="1"/>
        <v>-0.38783857299076996</v>
      </c>
      <c r="Y61">
        <v>0.30658400000000002</v>
      </c>
    </row>
    <row r="62" spans="1:25" x14ac:dyDescent="0.3">
      <c r="A62">
        <v>1</v>
      </c>
      <c r="B62" s="1">
        <v>2.2694200000000001E-2</v>
      </c>
      <c r="C62" s="1">
        <v>93630.5</v>
      </c>
      <c r="D62">
        <f>C62-Equation_Sheet!$B$2</f>
        <v>-7694.5</v>
      </c>
      <c r="H62">
        <f t="shared" si="0"/>
        <v>0.38758322378185822</v>
      </c>
      <c r="I62" s="1">
        <f t="shared" si="1"/>
        <v>-0.43374086507332354</v>
      </c>
      <c r="Y62">
        <v>0.13980200000000001</v>
      </c>
    </row>
    <row r="63" spans="1:25" x14ac:dyDescent="0.3">
      <c r="A63">
        <v>1</v>
      </c>
      <c r="B63" s="1">
        <v>1.4444E-2</v>
      </c>
      <c r="C63" s="1">
        <v>92737.8</v>
      </c>
      <c r="D63">
        <f>C63-Equation_Sheet!$B$2</f>
        <v>-8587.1999999999971</v>
      </c>
      <c r="H63">
        <f t="shared" si="0"/>
        <v>0.33760230694202953</v>
      </c>
      <c r="I63" s="1">
        <f t="shared" si="1"/>
        <v>-0.48406258451590656</v>
      </c>
      <c r="Y63">
        <v>0.15728200000000001</v>
      </c>
    </row>
    <row r="64" spans="1:25" x14ac:dyDescent="0.3">
      <c r="A64">
        <v>1</v>
      </c>
      <c r="B64" s="1">
        <v>6.69683E-3</v>
      </c>
      <c r="C64" s="1">
        <v>91941.1</v>
      </c>
      <c r="D64">
        <f>C64-Equation_Sheet!$B$2</f>
        <v>-9383.8999999999942</v>
      </c>
      <c r="H64">
        <f t="shared" si="0"/>
        <v>0.29066881932790922</v>
      </c>
      <c r="I64" s="1">
        <f t="shared" si="1"/>
        <v>-0.52897276025233064</v>
      </c>
      <c r="Y64">
        <v>3.5487900000000003E-2</v>
      </c>
    </row>
    <row r="65" spans="1:25" x14ac:dyDescent="0.3">
      <c r="A65">
        <v>1</v>
      </c>
      <c r="B65" s="1">
        <v>-4.46744E-4</v>
      </c>
      <c r="C65" s="1">
        <v>91205.1</v>
      </c>
      <c r="D65">
        <f>C65-Equation_Sheet!$B$2</f>
        <v>-10119.899999999994</v>
      </c>
      <c r="H65">
        <f t="shared" si="0"/>
        <v>0.2473920044587955</v>
      </c>
      <c r="I65" s="1">
        <f t="shared" si="1"/>
        <v>-0.57046126199954839</v>
      </c>
      <c r="Y65">
        <v>1.4807799999999999E-2</v>
      </c>
    </row>
    <row r="66" spans="1:25" x14ac:dyDescent="0.3">
      <c r="A66">
        <v>1</v>
      </c>
      <c r="B66" s="1">
        <v>-6.92334E-3</v>
      </c>
      <c r="C66" s="1">
        <v>90449.8</v>
      </c>
      <c r="D66">
        <f>C66-Equation_Sheet!$B$2</f>
        <v>-10875.199999999997</v>
      </c>
      <c r="H66">
        <f t="shared" si="0"/>
        <v>0.20815583974991972</v>
      </c>
      <c r="I66" s="1">
        <f t="shared" si="1"/>
        <v>-0.61303770951269188</v>
      </c>
      <c r="Y66">
        <v>5.0810000000000001E-2</v>
      </c>
    </row>
    <row r="67" spans="1:25" x14ac:dyDescent="0.3">
      <c r="A67">
        <v>1</v>
      </c>
      <c r="B67" s="1">
        <v>-1.27049E-2</v>
      </c>
      <c r="C67" s="1">
        <v>89711.5</v>
      </c>
      <c r="D67">
        <f>C67-Equation_Sheet!$B$2</f>
        <v>-11613.5</v>
      </c>
      <c r="H67">
        <f t="shared" ref="H67:H80" si="2">(B67-$E$2)/$F$2</f>
        <v>0.17313030466416665</v>
      </c>
      <c r="I67" s="1">
        <f t="shared" ref="I67:I80" si="3">D67/$V$2</f>
        <v>-0.65465586282786969</v>
      </c>
      <c r="Y67">
        <v>-5.1667200000000003E-2</v>
      </c>
    </row>
    <row r="68" spans="1:25" x14ac:dyDescent="0.3">
      <c r="A68">
        <v>1</v>
      </c>
      <c r="B68" s="1">
        <v>-1.7793699999999999E-2</v>
      </c>
      <c r="C68" s="1">
        <v>89329.9</v>
      </c>
      <c r="D68">
        <f>C68-Equation_Sheet!$B$2</f>
        <v>-11995.100000000006</v>
      </c>
      <c r="H68">
        <f t="shared" si="2"/>
        <v>0.14230161086104429</v>
      </c>
      <c r="I68" s="1">
        <f t="shared" si="3"/>
        <v>-0.6761667490598513</v>
      </c>
      <c r="Y68">
        <v>-6.0338500000000003E-2</v>
      </c>
    </row>
    <row r="69" spans="1:25" x14ac:dyDescent="0.3">
      <c r="A69">
        <v>1</v>
      </c>
      <c r="B69" s="1">
        <v>-2.2216400000000001E-2</v>
      </c>
      <c r="C69" s="1">
        <v>88918.7</v>
      </c>
      <c r="D69">
        <f>C69-Equation_Sheet!$B$2</f>
        <v>-12406.300000000003</v>
      </c>
      <c r="H69">
        <f t="shared" si="2"/>
        <v>0.11550824816589626</v>
      </c>
      <c r="I69" s="1">
        <f t="shared" si="3"/>
        <v>-0.69934619460123149</v>
      </c>
      <c r="Y69">
        <v>-6.8855299999999994E-2</v>
      </c>
    </row>
    <row r="70" spans="1:25" x14ac:dyDescent="0.3">
      <c r="A70">
        <v>1</v>
      </c>
      <c r="B70" s="1">
        <v>-2.6016000000000001E-2</v>
      </c>
      <c r="C70" s="1">
        <v>88118.399999999994</v>
      </c>
      <c r="D70">
        <f>C70-Equation_Sheet!$B$2</f>
        <v>-13206.600000000006</v>
      </c>
      <c r="H70">
        <f t="shared" si="2"/>
        <v>9.248971629701877E-2</v>
      </c>
      <c r="I70" s="1">
        <f t="shared" si="3"/>
        <v>-0.74445930322663689</v>
      </c>
      <c r="Y70">
        <v>-7.5490399999999999E-2</v>
      </c>
    </row>
    <row r="71" spans="1:25" x14ac:dyDescent="0.3">
      <c r="A71">
        <v>1</v>
      </c>
      <c r="B71" s="1">
        <v>-2.9246100000000001E-2</v>
      </c>
      <c r="C71" s="1">
        <v>88335.7</v>
      </c>
      <c r="D71">
        <f>C71-Equation_Sheet!$B$2</f>
        <v>-12989.300000000003</v>
      </c>
      <c r="H71">
        <f t="shared" si="2"/>
        <v>7.2921298624195011E-2</v>
      </c>
      <c r="I71" s="1">
        <f t="shared" si="3"/>
        <v>-0.73221004856675853</v>
      </c>
      <c r="Y71">
        <v>-8.0711500000000005E-2</v>
      </c>
    </row>
    <row r="72" spans="1:25" x14ac:dyDescent="0.3">
      <c r="A72">
        <v>1</v>
      </c>
      <c r="B72" s="1">
        <v>-3.1964699999999999E-2</v>
      </c>
      <c r="C72" s="1">
        <v>87536.3</v>
      </c>
      <c r="D72">
        <f>C72-Equation_Sheet!$B$2</f>
        <v>-13788.699999999997</v>
      </c>
      <c r="H72">
        <f t="shared" si="2"/>
        <v>5.6451622674429172E-2</v>
      </c>
      <c r="I72" s="1">
        <f t="shared" si="3"/>
        <v>-0.77727242396991814</v>
      </c>
      <c r="Y72">
        <v>-8.9513700000000002E-2</v>
      </c>
    </row>
    <row r="73" spans="1:25" x14ac:dyDescent="0.3">
      <c r="A73">
        <v>1</v>
      </c>
      <c r="B73" s="1">
        <v>-3.4229799999999998E-2</v>
      </c>
      <c r="C73" s="1">
        <v>87972.9</v>
      </c>
      <c r="D73">
        <f>C73-Equation_Sheet!$B$2</f>
        <v>-13352.100000000006</v>
      </c>
      <c r="H73">
        <f t="shared" si="2"/>
        <v>4.2729315974725422E-2</v>
      </c>
      <c r="I73" s="1">
        <f t="shared" si="3"/>
        <v>-0.75266117415628386</v>
      </c>
      <c r="Y73">
        <v>-8.7774900000000003E-2</v>
      </c>
    </row>
    <row r="74" spans="1:25" x14ac:dyDescent="0.3">
      <c r="A74">
        <v>1</v>
      </c>
      <c r="B74" s="1">
        <v>-3.6096099999999999E-2</v>
      </c>
      <c r="C74" s="1">
        <v>88540.1</v>
      </c>
      <c r="D74">
        <f>C74-Equation_Sheet!$B$2</f>
        <v>-12784.899999999994</v>
      </c>
      <c r="H74">
        <f t="shared" si="2"/>
        <v>3.1422997934172185E-2</v>
      </c>
      <c r="I74" s="1">
        <f t="shared" si="3"/>
        <v>-0.72068797009239483</v>
      </c>
      <c r="Y74">
        <v>0.122574</v>
      </c>
    </row>
    <row r="75" spans="1:25" x14ac:dyDescent="0.3">
      <c r="A75">
        <v>1</v>
      </c>
      <c r="B75" s="1">
        <v>-3.7612399999999997E-2</v>
      </c>
      <c r="C75" s="1">
        <v>91824.3</v>
      </c>
      <c r="D75">
        <f>C75-Equation_Sheet!$B$2</f>
        <v>-9500.6999999999971</v>
      </c>
      <c r="H75">
        <f t="shared" si="2"/>
        <v>2.2237031023766122E-2</v>
      </c>
      <c r="I75" s="1">
        <f t="shared" si="3"/>
        <v>-0.53555680509482406</v>
      </c>
      <c r="Y75">
        <v>0.11570999999999999</v>
      </c>
    </row>
    <row r="76" spans="1:25" x14ac:dyDescent="0.3">
      <c r="A76">
        <v>1</v>
      </c>
      <c r="B76" s="1">
        <v>-3.8819800000000002E-2</v>
      </c>
      <c r="C76" s="1">
        <v>93506.4</v>
      </c>
      <c r="D76">
        <f>C76-Equation_Sheet!$B$2</f>
        <v>-7818.6000000000058</v>
      </c>
      <c r="H76">
        <f t="shared" si="2"/>
        <v>1.4922425439367035E-2</v>
      </c>
      <c r="I76" s="1">
        <f t="shared" si="3"/>
        <v>-0.44073641271847297</v>
      </c>
      <c r="Y76">
        <v>0.19386600000000001</v>
      </c>
    </row>
    <row r="77" spans="1:25" x14ac:dyDescent="0.3">
      <c r="A77">
        <v>1</v>
      </c>
      <c r="B77" s="1">
        <v>-3.9751000000000002E-2</v>
      </c>
      <c r="C77" s="1">
        <v>100871</v>
      </c>
      <c r="D77">
        <f>C77-Equation_Sheet!$B$2</f>
        <v>-454</v>
      </c>
      <c r="H77">
        <f t="shared" si="2"/>
        <v>9.2810798039583836E-3</v>
      </c>
      <c r="I77" s="1">
        <f t="shared" si="3"/>
        <v>-2.5592092110376101E-2</v>
      </c>
      <c r="Y77">
        <v>-0.24209</v>
      </c>
    </row>
    <row r="78" spans="1:25" x14ac:dyDescent="0.3">
      <c r="A78">
        <v>1</v>
      </c>
      <c r="B78" s="1">
        <v>-4.04312E-2</v>
      </c>
      <c r="C78" s="1">
        <v>100048</v>
      </c>
      <c r="D78">
        <f>C78-Equation_Sheet!$B$2</f>
        <v>-1277</v>
      </c>
      <c r="H78">
        <f t="shared" si="2"/>
        <v>5.1603288361695534E-3</v>
      </c>
      <c r="I78" s="1">
        <f t="shared" si="3"/>
        <v>-7.1984805341300181E-2</v>
      </c>
      <c r="Y78">
        <v>-0.22742000000000001</v>
      </c>
    </row>
    <row r="79" spans="1:25" x14ac:dyDescent="0.3">
      <c r="A79">
        <v>1</v>
      </c>
      <c r="B79" s="1">
        <v>-4.0910599999999998E-2</v>
      </c>
      <c r="C79" s="1">
        <v>110059</v>
      </c>
      <c r="D79">
        <f>C79-Equation_Sheet!$B$2</f>
        <v>8734</v>
      </c>
      <c r="H79">
        <f t="shared" si="2"/>
        <v>2.2560536024765813E-3</v>
      </c>
      <c r="I79" s="1">
        <f t="shared" si="3"/>
        <v>0.49233773676657455</v>
      </c>
      <c r="Y79">
        <v>-1.16609E-2</v>
      </c>
    </row>
    <row r="80" spans="1:25" x14ac:dyDescent="0.3">
      <c r="A80">
        <v>1</v>
      </c>
      <c r="B80" s="1">
        <v>-4.1184499999999999E-2</v>
      </c>
      <c r="C80" s="1">
        <v>118050</v>
      </c>
      <c r="D80">
        <f>C80-Equation_Sheet!$B$2</f>
        <v>16725</v>
      </c>
      <c r="H80">
        <f t="shared" si="2"/>
        <v>5.9672738948427818E-4</v>
      </c>
      <c r="I80" s="1">
        <f t="shared" si="3"/>
        <v>0.94279238005735744</v>
      </c>
    </row>
  </sheetData>
  <sortState xmlns:xlrd2="http://schemas.microsoft.com/office/spreadsheetml/2017/richdata2" ref="A2:C80">
    <sortCondition descending="1" ref="A1:A80"/>
  </sortState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A1E63-6A22-4208-B46B-8E1FC9B2FD2E}">
  <dimension ref="A1:Y82"/>
  <sheetViews>
    <sheetView workbookViewId="0">
      <selection activeCell="K13" sqref="K13"/>
    </sheetView>
  </sheetViews>
  <sheetFormatPr defaultRowHeight="16.5" x14ac:dyDescent="0.3"/>
  <cols>
    <col min="2" max="6" width="9" style="1"/>
    <col min="11" max="11" width="9" style="1"/>
  </cols>
  <sheetData>
    <row r="1" spans="1:25" x14ac:dyDescent="0.3">
      <c r="B1" s="1" t="s">
        <v>0</v>
      </c>
      <c r="C1" s="1" t="s">
        <v>1</v>
      </c>
      <c r="R1" s="2" t="s">
        <v>8</v>
      </c>
      <c r="S1" t="s">
        <v>9</v>
      </c>
      <c r="T1" t="s">
        <v>7</v>
      </c>
      <c r="Y1" t="s">
        <v>15</v>
      </c>
    </row>
    <row r="2" spans="1:25" x14ac:dyDescent="0.3">
      <c r="A2">
        <v>2</v>
      </c>
      <c r="B2" s="1">
        <v>-4.1184499999999999E-2</v>
      </c>
      <c r="C2" s="1">
        <v>125331</v>
      </c>
      <c r="D2" s="1">
        <f>C2-Equation_Sheet!$B$2</f>
        <v>24006</v>
      </c>
      <c r="E2">
        <f>MIN(B:B)</f>
        <v>-4.1283E-2</v>
      </c>
      <c r="F2">
        <f>E3-E2</f>
        <v>0.16506700000000002</v>
      </c>
      <c r="H2">
        <f>(B2-$E$2)/$F$2</f>
        <v>5.9672738948427818E-4</v>
      </c>
      <c r="I2" s="1">
        <f>D2/$T$2</f>
        <v>0.84410560088083708</v>
      </c>
      <c r="J2" s="1"/>
      <c r="R2">
        <f>0.143+0.68</f>
        <v>0.82300000000000006</v>
      </c>
      <c r="S2">
        <f>R2*Equation_Sheet!$D$2</f>
        <v>215.4608961587</v>
      </c>
      <c r="T2">
        <f>(Equation_Sheet!$E$2*'0.68'!S2^2)/2</f>
        <v>28439.569616585144</v>
      </c>
      <c r="Y2">
        <v>0.40208199999999999</v>
      </c>
    </row>
    <row r="3" spans="1:25" x14ac:dyDescent="0.3">
      <c r="A3">
        <v>2</v>
      </c>
      <c r="B3" s="1">
        <v>-4.0910599999999998E-2</v>
      </c>
      <c r="C3" s="1">
        <v>123351</v>
      </c>
      <c r="D3" s="1">
        <f>C3-Equation_Sheet!$B$2</f>
        <v>22026</v>
      </c>
      <c r="E3">
        <f>MAX(B:B)</f>
        <v>0.12378400000000001</v>
      </c>
      <c r="F3"/>
      <c r="H3">
        <f t="shared" ref="H3:H66" si="0">(B3-$E$2)/$F$2</f>
        <v>2.2560536024765813E-3</v>
      </c>
      <c r="I3" s="1">
        <f t="shared" ref="I3:I66" si="1">D3/$T$2</f>
        <v>0.77448429413485453</v>
      </c>
      <c r="J3" s="1"/>
      <c r="Y3">
        <v>0.40171099999999998</v>
      </c>
    </row>
    <row r="4" spans="1:25" x14ac:dyDescent="0.3">
      <c r="A4">
        <v>2</v>
      </c>
      <c r="B4" s="1">
        <v>-4.04312E-2</v>
      </c>
      <c r="C4" s="1">
        <v>106260</v>
      </c>
      <c r="D4" s="1">
        <f>C4-Equation_Sheet!$B$2</f>
        <v>4935</v>
      </c>
      <c r="H4">
        <f t="shared" si="0"/>
        <v>5.1603288361695534E-3</v>
      </c>
      <c r="I4" s="1">
        <f t="shared" si="1"/>
        <v>0.17352583272294139</v>
      </c>
      <c r="J4" s="1"/>
      <c r="Y4">
        <v>0.29749799999999998</v>
      </c>
    </row>
    <row r="5" spans="1:25" x14ac:dyDescent="0.3">
      <c r="A5">
        <v>2</v>
      </c>
      <c r="B5" s="1">
        <v>-3.9751000000000002E-2</v>
      </c>
      <c r="C5" s="1">
        <v>104344</v>
      </c>
      <c r="D5" s="1">
        <f>C5-Equation_Sheet!$B$2</f>
        <v>3019</v>
      </c>
      <c r="H5">
        <f t="shared" si="0"/>
        <v>9.2810798039583836E-3</v>
      </c>
      <c r="I5" s="1">
        <f t="shared" si="1"/>
        <v>0.10615491164955625</v>
      </c>
      <c r="J5" s="1"/>
      <c r="Y5">
        <v>0.58562099999999995</v>
      </c>
    </row>
    <row r="6" spans="1:25" x14ac:dyDescent="0.3">
      <c r="A6">
        <v>2</v>
      </c>
      <c r="B6" s="1">
        <v>-3.8819800000000002E-2</v>
      </c>
      <c r="C6" s="1">
        <v>96693.8</v>
      </c>
      <c r="D6" s="1">
        <f>C6-Equation_Sheet!$B$2</f>
        <v>-4631.1999999999971</v>
      </c>
      <c r="H6">
        <f t="shared" si="0"/>
        <v>1.4922425439367035E-2</v>
      </c>
      <c r="I6" s="1">
        <f t="shared" si="1"/>
        <v>-0.16284353323333042</v>
      </c>
      <c r="J6" s="1"/>
      <c r="Y6">
        <v>-5.6139399999999999E-2</v>
      </c>
    </row>
    <row r="7" spans="1:25" x14ac:dyDescent="0.3">
      <c r="A7">
        <v>2</v>
      </c>
      <c r="B7" s="1">
        <v>-3.7612399999999997E-2</v>
      </c>
      <c r="C7" s="1">
        <v>87101.5</v>
      </c>
      <c r="D7" s="1">
        <f>C7-Equation_Sheet!$B$2</f>
        <v>-14223.5</v>
      </c>
      <c r="H7">
        <f t="shared" si="0"/>
        <v>2.2237031023766122E-2</v>
      </c>
      <c r="I7" s="1">
        <f t="shared" si="1"/>
        <v>-0.50013063459670859</v>
      </c>
      <c r="J7" s="1"/>
      <c r="Y7">
        <v>0.291574</v>
      </c>
    </row>
    <row r="8" spans="1:25" x14ac:dyDescent="0.3">
      <c r="A8">
        <v>2</v>
      </c>
      <c r="B8" s="1">
        <v>-3.6096099999999999E-2</v>
      </c>
      <c r="C8" s="1">
        <v>83278</v>
      </c>
      <c r="D8" s="1">
        <f>C8-Equation_Sheet!$B$2</f>
        <v>-18047</v>
      </c>
      <c r="H8">
        <f t="shared" si="0"/>
        <v>3.1422997934172185E-2</v>
      </c>
      <c r="I8" s="1">
        <f t="shared" si="1"/>
        <v>-0.63457359739633701</v>
      </c>
      <c r="J8" s="1"/>
      <c r="Y8">
        <v>0.113705</v>
      </c>
    </row>
    <row r="9" spans="1:25" x14ac:dyDescent="0.3">
      <c r="A9">
        <v>2</v>
      </c>
      <c r="B9" s="1">
        <v>-3.4229799999999998E-2</v>
      </c>
      <c r="C9" s="1">
        <v>82009.5</v>
      </c>
      <c r="D9" s="1">
        <f>C9-Equation_Sheet!$B$2</f>
        <v>-19315.5</v>
      </c>
      <c r="H9">
        <f t="shared" si="0"/>
        <v>4.2729315974725422E-2</v>
      </c>
      <c r="I9" s="1">
        <f t="shared" si="1"/>
        <v>-0.67917694467274048</v>
      </c>
      <c r="J9" s="1"/>
      <c r="Y9">
        <v>0.24893299999999999</v>
      </c>
    </row>
    <row r="10" spans="1:25" x14ac:dyDescent="0.3">
      <c r="A10">
        <v>2</v>
      </c>
      <c r="B10" s="1">
        <v>-3.1964699999999999E-2</v>
      </c>
      <c r="C10" s="1">
        <v>79750.8</v>
      </c>
      <c r="D10" s="1">
        <f>C10-Equation_Sheet!$B$2</f>
        <v>-21574.199999999997</v>
      </c>
      <c r="H10">
        <f t="shared" si="0"/>
        <v>5.6451622674429172E-2</v>
      </c>
      <c r="I10" s="1">
        <f t="shared" si="1"/>
        <v>-0.75859797777736204</v>
      </c>
      <c r="J10" s="1"/>
      <c r="Y10">
        <v>7.1923399999999998E-2</v>
      </c>
    </row>
    <row r="11" spans="1:25" x14ac:dyDescent="0.3">
      <c r="A11">
        <v>2</v>
      </c>
      <c r="B11" s="1">
        <v>-2.9246100000000001E-2</v>
      </c>
      <c r="C11" s="1">
        <v>79836.2</v>
      </c>
      <c r="D11" s="1">
        <f>C11-Equation_Sheet!$B$2</f>
        <v>-21488.800000000003</v>
      </c>
      <c r="H11">
        <f t="shared" si="0"/>
        <v>7.2921298624195011E-2</v>
      </c>
      <c r="I11" s="1">
        <f t="shared" si="1"/>
        <v>-0.75559511939549007</v>
      </c>
      <c r="J11" s="1"/>
      <c r="Y11">
        <v>9.0053400000000006E-2</v>
      </c>
    </row>
    <row r="12" spans="1:25" x14ac:dyDescent="0.3">
      <c r="A12">
        <v>2</v>
      </c>
      <c r="B12" s="1">
        <v>-2.6016000000000001E-2</v>
      </c>
      <c r="C12" s="1">
        <v>79770.5</v>
      </c>
      <c r="D12" s="1">
        <f>C12-Equation_Sheet!$B$2</f>
        <v>-21554.5</v>
      </c>
      <c r="H12">
        <f t="shared" si="0"/>
        <v>9.248971629701877E-2</v>
      </c>
      <c r="I12" s="1">
        <f t="shared" si="1"/>
        <v>-0.75790528093751575</v>
      </c>
      <c r="J12" s="1"/>
      <c r="Y12">
        <v>7.7559699999999995E-2</v>
      </c>
    </row>
    <row r="13" spans="1:25" x14ac:dyDescent="0.3">
      <c r="A13">
        <v>2</v>
      </c>
      <c r="B13" s="1">
        <v>-2.2216400000000001E-2</v>
      </c>
      <c r="C13" s="1">
        <v>79880</v>
      </c>
      <c r="D13" s="1">
        <f>C13-Equation_Sheet!$B$2</f>
        <v>-21445</v>
      </c>
      <c r="H13">
        <f t="shared" si="0"/>
        <v>0.11550824816589626</v>
      </c>
      <c r="I13" s="1">
        <f t="shared" si="1"/>
        <v>-0.75405501170080613</v>
      </c>
      <c r="J13" s="1"/>
      <c r="Y13">
        <v>3.5727099999999998E-2</v>
      </c>
    </row>
    <row r="14" spans="1:25" x14ac:dyDescent="0.3">
      <c r="A14">
        <v>2</v>
      </c>
      <c r="B14" s="1">
        <v>-1.7793699999999999E-2</v>
      </c>
      <c r="C14" s="1">
        <v>81585.899999999994</v>
      </c>
      <c r="D14" s="1">
        <f>C14-Equation_Sheet!$B$2</f>
        <v>-19739.100000000006</v>
      </c>
      <c r="H14">
        <f t="shared" si="0"/>
        <v>0.14230161086104429</v>
      </c>
      <c r="I14" s="1">
        <f t="shared" si="1"/>
        <v>-0.69407168484324488</v>
      </c>
      <c r="J14" s="1"/>
      <c r="Y14">
        <v>3.2198499999999998E-2</v>
      </c>
    </row>
    <row r="15" spans="1:25" x14ac:dyDescent="0.3">
      <c r="A15">
        <v>2</v>
      </c>
      <c r="B15" s="1">
        <v>-1.27049E-2</v>
      </c>
      <c r="C15" s="1">
        <v>81716.5</v>
      </c>
      <c r="D15" s="1">
        <f>C15-Equation_Sheet!$B$2</f>
        <v>-19608.5</v>
      </c>
      <c r="H15">
        <f t="shared" si="0"/>
        <v>0.17313030466416665</v>
      </c>
      <c r="I15" s="1">
        <f t="shared" si="1"/>
        <v>-0.68947949158010058</v>
      </c>
      <c r="J15" s="1"/>
      <c r="Y15">
        <v>1.1745E-2</v>
      </c>
    </row>
    <row r="16" spans="1:25" x14ac:dyDescent="0.3">
      <c r="A16">
        <v>2</v>
      </c>
      <c r="B16" s="1">
        <v>-6.92334E-3</v>
      </c>
      <c r="C16" s="1">
        <v>83370.600000000006</v>
      </c>
      <c r="D16" s="1">
        <f>C16-Equation_Sheet!$B$2</f>
        <v>-17954.399999999994</v>
      </c>
      <c r="H16">
        <f t="shared" si="0"/>
        <v>0.20815583974991972</v>
      </c>
      <c r="I16" s="1">
        <f t="shared" si="1"/>
        <v>-0.63131757062629745</v>
      </c>
      <c r="J16" s="1"/>
      <c r="Y16">
        <v>-5.21939E-3</v>
      </c>
    </row>
    <row r="17" spans="1:25" x14ac:dyDescent="0.3">
      <c r="A17">
        <v>2</v>
      </c>
      <c r="B17" s="1">
        <v>-4.46744E-4</v>
      </c>
      <c r="C17" s="1">
        <v>84431.9</v>
      </c>
      <c r="D17" s="1">
        <f>C17-Equation_Sheet!$B$2</f>
        <v>-16893.100000000006</v>
      </c>
      <c r="H17">
        <f t="shared" si="0"/>
        <v>0.2473920044587955</v>
      </c>
      <c r="I17" s="1">
        <f t="shared" si="1"/>
        <v>-0.59399984696492847</v>
      </c>
      <c r="J17" s="1"/>
      <c r="Y17">
        <v>0.52995099999999995</v>
      </c>
    </row>
    <row r="18" spans="1:25" x14ac:dyDescent="0.3">
      <c r="A18">
        <v>2</v>
      </c>
      <c r="B18" s="1">
        <v>6.69683E-3</v>
      </c>
      <c r="C18" s="1">
        <v>85847.9</v>
      </c>
      <c r="D18" s="1">
        <f>C18-Equation_Sheet!$B$2</f>
        <v>-15477.100000000006</v>
      </c>
      <c r="H18">
        <f t="shared" si="0"/>
        <v>0.29066881932790922</v>
      </c>
      <c r="I18" s="1">
        <f t="shared" si="1"/>
        <v>-0.54421006395871063</v>
      </c>
      <c r="J18" s="1"/>
      <c r="Y18">
        <v>-6.8403500000000006E-2</v>
      </c>
    </row>
    <row r="19" spans="1:25" x14ac:dyDescent="0.3">
      <c r="A19">
        <v>2</v>
      </c>
      <c r="B19" s="1">
        <v>1.4444E-2</v>
      </c>
      <c r="C19" s="1">
        <v>87277.6</v>
      </c>
      <c r="D19" s="1">
        <f>C19-Equation_Sheet!$B$2</f>
        <v>-14047.399999999994</v>
      </c>
      <c r="H19">
        <f t="shared" si="0"/>
        <v>0.33760230694202953</v>
      </c>
      <c r="I19" s="1">
        <f t="shared" si="1"/>
        <v>-0.49393855776945206</v>
      </c>
      <c r="J19" s="1"/>
      <c r="Y19">
        <v>-8.3770200000000003E-2</v>
      </c>
    </row>
    <row r="20" spans="1:25" x14ac:dyDescent="0.3">
      <c r="A20">
        <v>2</v>
      </c>
      <c r="B20" s="1">
        <v>2.2694200000000001E-2</v>
      </c>
      <c r="C20" s="1">
        <v>88883.9</v>
      </c>
      <c r="D20" s="1">
        <f>C20-Equation_Sheet!$B$2</f>
        <v>-12441.100000000006</v>
      </c>
      <c r="H20">
        <f t="shared" si="0"/>
        <v>0.38758322378185822</v>
      </c>
      <c r="I20" s="1">
        <f t="shared" si="1"/>
        <v>-0.43745739361487074</v>
      </c>
      <c r="J20" s="1"/>
      <c r="Y20">
        <v>-4.7994700000000001E-3</v>
      </c>
    </row>
    <row r="21" spans="1:25" x14ac:dyDescent="0.3">
      <c r="A21">
        <v>2</v>
      </c>
      <c r="B21" s="1">
        <v>3.1312600000000003E-2</v>
      </c>
      <c r="C21" s="1">
        <v>90379</v>
      </c>
      <c r="D21" s="1">
        <f>C21-Equation_Sheet!$B$2</f>
        <v>-10946</v>
      </c>
      <c r="H21">
        <f t="shared" si="0"/>
        <v>0.43979475001060175</v>
      </c>
      <c r="I21" s="1">
        <f t="shared" si="1"/>
        <v>-0.38488627456642682</v>
      </c>
      <c r="J21" s="1"/>
      <c r="Y21">
        <v>4.8536299999999998E-2</v>
      </c>
    </row>
    <row r="22" spans="1:25" x14ac:dyDescent="0.3">
      <c r="A22">
        <v>2</v>
      </c>
      <c r="B22" s="1">
        <v>4.0136400000000003E-2</v>
      </c>
      <c r="C22" s="1">
        <v>91896.8</v>
      </c>
      <c r="D22" s="1">
        <f>C22-Equation_Sheet!$B$2</f>
        <v>-9428.1999999999971</v>
      </c>
      <c r="H22">
        <f t="shared" si="0"/>
        <v>0.49325061944543724</v>
      </c>
      <c r="I22" s="1">
        <f t="shared" si="1"/>
        <v>-0.33151697184973361</v>
      </c>
      <c r="J22" s="1"/>
      <c r="Y22">
        <v>0.16278200000000001</v>
      </c>
    </row>
    <row r="23" spans="1:25" x14ac:dyDescent="0.3">
      <c r="A23">
        <v>2</v>
      </c>
      <c r="B23" s="1">
        <v>4.8986799999999997E-2</v>
      </c>
      <c r="C23" s="1">
        <v>93233.8</v>
      </c>
      <c r="D23" s="1">
        <f>C23-Equation_Sheet!$B$2</f>
        <v>-8091.1999999999971</v>
      </c>
      <c r="H23">
        <f t="shared" si="0"/>
        <v>0.54686763556616391</v>
      </c>
      <c r="I23" s="1">
        <f t="shared" si="1"/>
        <v>-0.28450500865812822</v>
      </c>
      <c r="J23" s="1"/>
      <c r="Y23">
        <v>0.176312</v>
      </c>
    </row>
    <row r="24" spans="1:25" x14ac:dyDescent="0.3">
      <c r="A24">
        <v>2</v>
      </c>
      <c r="B24" s="1">
        <v>5.7682400000000002E-2</v>
      </c>
      <c r="C24" s="1">
        <v>94731.8</v>
      </c>
      <c r="D24" s="1">
        <f>C24-Equation_Sheet!$B$2</f>
        <v>-6593.1999999999971</v>
      </c>
      <c r="H24">
        <f t="shared" si="0"/>
        <v>0.59954685067275715</v>
      </c>
      <c r="I24" s="1">
        <f t="shared" si="1"/>
        <v>-0.23183191900889497</v>
      </c>
      <c r="J24" s="1"/>
      <c r="Y24">
        <v>-9.2202400000000004E-2</v>
      </c>
    </row>
    <row r="25" spans="1:25" x14ac:dyDescent="0.3">
      <c r="A25">
        <v>2</v>
      </c>
      <c r="B25" s="1">
        <v>6.6054000000000002E-2</v>
      </c>
      <c r="C25" s="1">
        <v>95821.3</v>
      </c>
      <c r="D25" s="1">
        <f>C25-Equation_Sheet!$B$2</f>
        <v>-5503.6999999999971</v>
      </c>
      <c r="H25">
        <f t="shared" si="0"/>
        <v>0.6502632264474425</v>
      </c>
      <c r="I25" s="1">
        <f t="shared" si="1"/>
        <v>-0.1935226191605374</v>
      </c>
      <c r="J25" s="1"/>
      <c r="Y25">
        <v>-7.6756199999999997E-2</v>
      </c>
    </row>
    <row r="26" spans="1:25" x14ac:dyDescent="0.3">
      <c r="A26">
        <v>2</v>
      </c>
      <c r="B26" s="1">
        <v>7.3956800000000003E-2</v>
      </c>
      <c r="C26" s="1">
        <v>97076.4</v>
      </c>
      <c r="D26" s="1">
        <f>C26-Equation_Sheet!$B$2</f>
        <v>-4248.6000000000058</v>
      </c>
      <c r="H26">
        <f t="shared" si="0"/>
        <v>0.69813954333694794</v>
      </c>
      <c r="I26" s="1">
        <f t="shared" si="1"/>
        <v>-0.1493904463843343</v>
      </c>
      <c r="J26" s="1"/>
      <c r="Y26">
        <v>-0.107098</v>
      </c>
    </row>
    <row r="27" spans="1:25" x14ac:dyDescent="0.3">
      <c r="A27">
        <v>2</v>
      </c>
      <c r="B27" s="1">
        <v>8.1279299999999999E-2</v>
      </c>
      <c r="C27" s="1">
        <v>98162.3</v>
      </c>
      <c r="D27" s="1">
        <f>C27-Equation_Sheet!$B$2</f>
        <v>-3162.6999999999971</v>
      </c>
      <c r="H27">
        <f t="shared" si="0"/>
        <v>0.74250031805266947</v>
      </c>
      <c r="I27" s="1">
        <f t="shared" si="1"/>
        <v>-0.11120773073006002</v>
      </c>
      <c r="J27" s="1"/>
      <c r="Y27">
        <v>-0.121013</v>
      </c>
    </row>
    <row r="28" spans="1:25" x14ac:dyDescent="0.3">
      <c r="A28">
        <v>2</v>
      </c>
      <c r="B28" s="1">
        <v>8.7947899999999996E-2</v>
      </c>
      <c r="C28" s="1">
        <v>99429.8</v>
      </c>
      <c r="D28" s="1">
        <f>C28-Equation_Sheet!$B$2</f>
        <v>-1895.1999999999971</v>
      </c>
      <c r="H28">
        <f t="shared" si="0"/>
        <v>0.78289967104266733</v>
      </c>
      <c r="I28" s="1">
        <f t="shared" si="1"/>
        <v>-6.6639545729790889E-2</v>
      </c>
      <c r="J28" s="1"/>
      <c r="Y28">
        <v>-0.10088800000000001</v>
      </c>
    </row>
    <row r="29" spans="1:25" x14ac:dyDescent="0.3">
      <c r="A29">
        <v>2</v>
      </c>
      <c r="B29" s="1">
        <v>9.3925599999999998E-2</v>
      </c>
      <c r="C29" s="1">
        <v>100339</v>
      </c>
      <c r="D29" s="1">
        <f>C29-Equation_Sheet!$B$2</f>
        <v>-986</v>
      </c>
      <c r="H29">
        <f t="shared" si="0"/>
        <v>0.81911345090175502</v>
      </c>
      <c r="I29" s="1">
        <f t="shared" si="1"/>
        <v>-3.4670004268453944E-2</v>
      </c>
      <c r="J29" s="1"/>
      <c r="Y29">
        <v>-0.12086</v>
      </c>
    </row>
    <row r="30" spans="1:25" x14ac:dyDescent="0.3">
      <c r="A30">
        <v>2</v>
      </c>
      <c r="B30" s="1">
        <v>9.9208299999999999E-2</v>
      </c>
      <c r="C30" s="1">
        <v>101563</v>
      </c>
      <c r="D30" s="1">
        <f>C30-Equation_Sheet!$B$2</f>
        <v>238</v>
      </c>
      <c r="H30">
        <f t="shared" si="0"/>
        <v>0.85111681923097871</v>
      </c>
      <c r="I30" s="1">
        <f t="shared" si="1"/>
        <v>8.368621719971641E-3</v>
      </c>
      <c r="J30" s="1"/>
      <c r="Y30">
        <v>-7.78808E-2</v>
      </c>
    </row>
    <row r="31" spans="1:25" x14ac:dyDescent="0.3">
      <c r="A31">
        <v>2</v>
      </c>
      <c r="B31" s="1">
        <v>0.10381899999999999</v>
      </c>
      <c r="C31" s="1">
        <v>102578</v>
      </c>
      <c r="D31" s="1">
        <f>C31-Equation_Sheet!$B$2</f>
        <v>1253</v>
      </c>
      <c r="H31">
        <f t="shared" si="0"/>
        <v>0.87904911339032021</v>
      </c>
      <c r="I31" s="1">
        <f t="shared" si="1"/>
        <v>4.4058331996321289E-2</v>
      </c>
      <c r="J31" s="1"/>
      <c r="Y31">
        <v>-5.7975600000000002E-2</v>
      </c>
    </row>
    <row r="32" spans="1:25" x14ac:dyDescent="0.3">
      <c r="A32">
        <v>2</v>
      </c>
      <c r="B32" s="1">
        <v>0.107798</v>
      </c>
      <c r="C32" s="1">
        <v>103326</v>
      </c>
      <c r="D32" s="1">
        <f>C32-Equation_Sheet!$B$2</f>
        <v>2001</v>
      </c>
      <c r="H32">
        <f t="shared" si="0"/>
        <v>0.9031544766670504</v>
      </c>
      <c r="I32" s="1">
        <f t="shared" si="1"/>
        <v>7.0359714544803595E-2</v>
      </c>
      <c r="J32" s="1"/>
      <c r="Y32">
        <v>-3.4740699999999999E-2</v>
      </c>
    </row>
    <row r="33" spans="1:25" x14ac:dyDescent="0.3">
      <c r="A33">
        <v>2</v>
      </c>
      <c r="B33" s="1">
        <v>0.11120099999999999</v>
      </c>
      <c r="C33" s="1">
        <v>104940</v>
      </c>
      <c r="D33" s="1">
        <f>C33-Equation_Sheet!$B$2</f>
        <v>3615</v>
      </c>
      <c r="H33">
        <f t="shared" si="0"/>
        <v>0.9237703477981668</v>
      </c>
      <c r="I33" s="1">
        <f t="shared" si="1"/>
        <v>0.12711162822561967</v>
      </c>
      <c r="J33" s="1"/>
      <c r="Y33">
        <v>-0.13586400000000001</v>
      </c>
    </row>
    <row r="34" spans="1:25" x14ac:dyDescent="0.3">
      <c r="A34">
        <v>2</v>
      </c>
      <c r="B34" s="1">
        <v>0.11408699999999999</v>
      </c>
      <c r="C34" s="1">
        <v>105407</v>
      </c>
      <c r="D34" s="1">
        <f>C34-Equation_Sheet!$B$2</f>
        <v>4082</v>
      </c>
      <c r="H34">
        <f t="shared" si="0"/>
        <v>0.94125415740275153</v>
      </c>
      <c r="I34" s="1">
        <f t="shared" si="1"/>
        <v>0.14353241118035395</v>
      </c>
      <c r="J34" s="1"/>
      <c r="Y34">
        <v>2.2970899999999999E-2</v>
      </c>
    </row>
    <row r="35" spans="1:25" x14ac:dyDescent="0.3">
      <c r="A35">
        <v>2</v>
      </c>
      <c r="B35" s="1">
        <v>0.116517</v>
      </c>
      <c r="C35" s="1">
        <v>107415</v>
      </c>
      <c r="D35" s="1">
        <f>C35-Equation_Sheet!$B$2</f>
        <v>6090</v>
      </c>
      <c r="H35">
        <f t="shared" si="0"/>
        <v>0.95597545239205883</v>
      </c>
      <c r="I35" s="1">
        <f t="shared" si="1"/>
        <v>0.21413826165809788</v>
      </c>
      <c r="J35" s="1"/>
      <c r="Y35">
        <v>4.3562599999999998E-3</v>
      </c>
    </row>
    <row r="36" spans="1:25" x14ac:dyDescent="0.3">
      <c r="A36">
        <v>2</v>
      </c>
      <c r="B36" s="1">
        <v>0.11855300000000001</v>
      </c>
      <c r="C36" s="1">
        <v>113987</v>
      </c>
      <c r="D36" s="1">
        <f>C36-Equation_Sheet!$B$2</f>
        <v>12662</v>
      </c>
      <c r="H36">
        <f t="shared" si="0"/>
        <v>0.96830983782342916</v>
      </c>
      <c r="I36" s="1">
        <f t="shared" si="1"/>
        <v>0.44522474041294507</v>
      </c>
      <c r="J36" s="1"/>
      <c r="Y36">
        <v>3.6688800000000001E-2</v>
      </c>
    </row>
    <row r="37" spans="1:25" x14ac:dyDescent="0.3">
      <c r="A37">
        <v>2</v>
      </c>
      <c r="B37" s="1">
        <v>0.12024899999999999</v>
      </c>
      <c r="C37" s="1">
        <v>108623</v>
      </c>
      <c r="D37" s="1">
        <f>C37-Equation_Sheet!$B$2</f>
        <v>7298</v>
      </c>
      <c r="H37">
        <f t="shared" si="0"/>
        <v>0.97858445358551371</v>
      </c>
      <c r="I37" s="1">
        <f t="shared" si="1"/>
        <v>0.25661429122837409</v>
      </c>
      <c r="J37" s="1"/>
      <c r="Y37">
        <v>6.6259299999999993E-2</v>
      </c>
    </row>
    <row r="38" spans="1:25" x14ac:dyDescent="0.3">
      <c r="A38">
        <v>2</v>
      </c>
      <c r="B38" s="1">
        <v>0.121658</v>
      </c>
      <c r="C38" s="1">
        <v>118746</v>
      </c>
      <c r="D38" s="1">
        <f>C38-Equation_Sheet!$B$2</f>
        <v>17421</v>
      </c>
      <c r="H38">
        <f t="shared" si="0"/>
        <v>0.98712038142087744</v>
      </c>
      <c r="I38" s="1">
        <f t="shared" si="1"/>
        <v>0.61256201253624354</v>
      </c>
      <c r="J38" s="1"/>
      <c r="Y38">
        <v>7.4825799999999998E-2</v>
      </c>
    </row>
    <row r="39" spans="1:25" x14ac:dyDescent="0.3">
      <c r="A39">
        <v>2</v>
      </c>
      <c r="B39" s="1">
        <v>0.122822</v>
      </c>
      <c r="C39" s="1">
        <v>130235</v>
      </c>
      <c r="D39" s="1">
        <f>C39-Equation_Sheet!$B$2</f>
        <v>28910</v>
      </c>
      <c r="H39">
        <f t="shared" si="0"/>
        <v>0.99417206346513831</v>
      </c>
      <c r="I39" s="1">
        <f t="shared" si="1"/>
        <v>1.0165414030436142</v>
      </c>
      <c r="J39" s="1"/>
      <c r="Y39">
        <v>-0.35944300000000001</v>
      </c>
    </row>
    <row r="40" spans="1:25" x14ac:dyDescent="0.3">
      <c r="A40">
        <v>2</v>
      </c>
      <c r="B40" s="1">
        <v>0.12378400000000001</v>
      </c>
      <c r="C40" s="1">
        <v>98262.5</v>
      </c>
      <c r="D40" s="1">
        <f>C40-Equation_Sheet!$B$2</f>
        <v>-3062.5</v>
      </c>
      <c r="H40">
        <f t="shared" si="0"/>
        <v>1</v>
      </c>
      <c r="I40" s="1">
        <f t="shared" si="1"/>
        <v>-0.1076844706613998</v>
      </c>
      <c r="J40" s="1"/>
      <c r="Y40">
        <v>-0.36183799999999999</v>
      </c>
    </row>
    <row r="41" spans="1:25" x14ac:dyDescent="0.3">
      <c r="I41" s="1"/>
      <c r="J41" s="1"/>
      <c r="Y41">
        <v>-0.329123</v>
      </c>
    </row>
    <row r="42" spans="1:25" x14ac:dyDescent="0.3">
      <c r="A42">
        <v>1</v>
      </c>
      <c r="B42" s="1">
        <v>-4.1283E-2</v>
      </c>
      <c r="C42" s="1">
        <v>123239</v>
      </c>
      <c r="D42" s="1">
        <f>C42-Equation_Sheet!$B$2</f>
        <v>21914</v>
      </c>
      <c r="H42">
        <f t="shared" si="0"/>
        <v>0</v>
      </c>
      <c r="I42" s="1">
        <f t="shared" si="1"/>
        <v>0.77054611920780902</v>
      </c>
      <c r="J42" s="1"/>
      <c r="Y42">
        <v>9.0466599999999994E-2</v>
      </c>
    </row>
    <row r="43" spans="1:25" x14ac:dyDescent="0.3">
      <c r="A43">
        <v>1</v>
      </c>
      <c r="B43" s="1">
        <v>-4.1261199999999998E-2</v>
      </c>
      <c r="C43" s="1">
        <v>123260</v>
      </c>
      <c r="D43" s="1">
        <f>C43-Equation_Sheet!$B$2</f>
        <v>21935</v>
      </c>
      <c r="H43">
        <f t="shared" si="0"/>
        <v>1.3206758467775129E-4</v>
      </c>
      <c r="I43" s="1">
        <f t="shared" si="1"/>
        <v>0.77128452700663008</v>
      </c>
      <c r="J43" s="1"/>
      <c r="Y43">
        <v>0.32005699999999998</v>
      </c>
    </row>
    <row r="44" spans="1:25" x14ac:dyDescent="0.3">
      <c r="A44">
        <v>1</v>
      </c>
      <c r="B44" s="1">
        <v>-4.1144699999999999E-2</v>
      </c>
      <c r="C44" s="1">
        <v>117554</v>
      </c>
      <c r="D44" s="1">
        <f>C44-Equation_Sheet!$B$2</f>
        <v>16229</v>
      </c>
      <c r="H44">
        <f t="shared" si="0"/>
        <v>8.3784160371243744E-4</v>
      </c>
      <c r="I44" s="1">
        <f t="shared" si="1"/>
        <v>0.57064857938411662</v>
      </c>
      <c r="J44" s="1"/>
      <c r="Y44">
        <v>5.5335000000000002E-2</v>
      </c>
    </row>
    <row r="45" spans="1:25" x14ac:dyDescent="0.3">
      <c r="A45">
        <v>1</v>
      </c>
      <c r="B45" s="1">
        <v>-4.0884499999999997E-2</v>
      </c>
      <c r="C45" s="1">
        <v>118785</v>
      </c>
      <c r="D45" s="1">
        <f>C45-Equation_Sheet!$B$2</f>
        <v>17460</v>
      </c>
      <c r="H45">
        <f t="shared" si="0"/>
        <v>2.4141712153247044E-3</v>
      </c>
      <c r="I45" s="1">
        <f t="shared" si="1"/>
        <v>0.6139333413054826</v>
      </c>
      <c r="J45" s="1"/>
      <c r="Y45">
        <v>-8.4894399999999995E-2</v>
      </c>
    </row>
    <row r="46" spans="1:25" x14ac:dyDescent="0.3">
      <c r="A46">
        <v>1</v>
      </c>
      <c r="B46" s="1">
        <v>-4.0419900000000002E-2</v>
      </c>
      <c r="C46" s="1">
        <v>120432</v>
      </c>
      <c r="D46" s="1">
        <f>C46-Equation_Sheet!$B$2</f>
        <v>19107</v>
      </c>
      <c r="H46">
        <f t="shared" si="0"/>
        <v>5.2287858869428687E-3</v>
      </c>
      <c r="I46" s="1">
        <f t="shared" si="1"/>
        <v>0.67184561009873167</v>
      </c>
      <c r="J46" s="1"/>
      <c r="Y46">
        <v>-0.26073000000000002</v>
      </c>
    </row>
    <row r="47" spans="1:25" x14ac:dyDescent="0.3">
      <c r="A47">
        <v>1</v>
      </c>
      <c r="B47" s="1">
        <v>-3.9683499999999997E-2</v>
      </c>
      <c r="C47" s="1">
        <v>110943</v>
      </c>
      <c r="D47" s="1">
        <f>C47-Equation_Sheet!$B$2</f>
        <v>9618</v>
      </c>
      <c r="H47">
        <f t="shared" si="0"/>
        <v>9.6900046647725082E-3</v>
      </c>
      <c r="I47" s="1">
        <f t="shared" si="1"/>
        <v>0.33819077186003044</v>
      </c>
      <c r="J47" s="1"/>
      <c r="Y47">
        <v>0.11164</v>
      </c>
    </row>
    <row r="48" spans="1:25" x14ac:dyDescent="0.3">
      <c r="A48">
        <v>1</v>
      </c>
      <c r="B48" s="1">
        <v>-3.86735E-2</v>
      </c>
      <c r="C48" s="1">
        <v>110205</v>
      </c>
      <c r="D48" s="1">
        <f>C48-Equation_Sheet!$B$2</f>
        <v>8880</v>
      </c>
      <c r="H48">
        <f t="shared" si="0"/>
        <v>1.5808732211768557E-2</v>
      </c>
      <c r="I48" s="1">
        <f t="shared" si="1"/>
        <v>0.31224101207289151</v>
      </c>
      <c r="J48" s="1"/>
      <c r="Y48">
        <v>-0.309668</v>
      </c>
    </row>
    <row r="49" spans="1:25" x14ac:dyDescent="0.3">
      <c r="A49">
        <v>1</v>
      </c>
      <c r="B49" s="1">
        <v>-3.7356300000000002E-2</v>
      </c>
      <c r="C49" s="1">
        <v>103973</v>
      </c>
      <c r="D49" s="1">
        <f>C49-Equation_Sheet!$B$2</f>
        <v>2648</v>
      </c>
      <c r="H49">
        <f t="shared" si="0"/>
        <v>2.3788522236425195E-2</v>
      </c>
      <c r="I49" s="1">
        <f t="shared" si="1"/>
        <v>9.3109707203718098E-2</v>
      </c>
      <c r="J49" s="1"/>
      <c r="Y49">
        <v>-0.28371099999999999</v>
      </c>
    </row>
    <row r="50" spans="1:25" x14ac:dyDescent="0.3">
      <c r="A50">
        <v>1</v>
      </c>
      <c r="B50" s="1">
        <v>-3.5689600000000002E-2</v>
      </c>
      <c r="C50" s="1">
        <v>101063</v>
      </c>
      <c r="D50" s="1">
        <f>C50-Equation_Sheet!$B$2</f>
        <v>-262</v>
      </c>
      <c r="H50">
        <f t="shared" si="0"/>
        <v>3.3885634318185934E-2</v>
      </c>
      <c r="I50" s="1">
        <f t="shared" si="1"/>
        <v>-9.212516347195672E-3</v>
      </c>
      <c r="J50" s="1"/>
      <c r="Y50">
        <v>-0.25750200000000001</v>
      </c>
    </row>
    <row r="51" spans="1:25" x14ac:dyDescent="0.3">
      <c r="A51">
        <v>1</v>
      </c>
      <c r="B51" s="1">
        <v>-3.3623399999999998E-2</v>
      </c>
      <c r="C51" s="1">
        <v>97593.4</v>
      </c>
      <c r="D51" s="1">
        <f>C51-Equation_Sheet!$B$2</f>
        <v>-3731.6000000000058</v>
      </c>
      <c r="H51">
        <f t="shared" si="0"/>
        <v>4.6402975761357518E-2</v>
      </c>
      <c r="I51" s="1">
        <f t="shared" si="1"/>
        <v>-0.13121154962288331</v>
      </c>
      <c r="J51" s="1"/>
      <c r="Y51">
        <v>-0.22805900000000001</v>
      </c>
    </row>
    <row r="52" spans="1:25" x14ac:dyDescent="0.3">
      <c r="A52">
        <v>1</v>
      </c>
      <c r="B52" s="1">
        <v>-3.1100800000000001E-2</v>
      </c>
      <c r="C52" s="1">
        <v>96755.1</v>
      </c>
      <c r="D52" s="1">
        <f>C52-Equation_Sheet!$B$2</f>
        <v>-4569.8999999999942</v>
      </c>
      <c r="H52">
        <f t="shared" si="0"/>
        <v>6.1685255078240943E-2</v>
      </c>
      <c r="I52" s="1">
        <f t="shared" si="1"/>
        <v>-0.16068808570629561</v>
      </c>
      <c r="J52" s="1"/>
      <c r="Y52">
        <v>-0.200651</v>
      </c>
    </row>
    <row r="53" spans="1:25" x14ac:dyDescent="0.3">
      <c r="A53">
        <v>1</v>
      </c>
      <c r="B53" s="1">
        <v>-2.8060600000000002E-2</v>
      </c>
      <c r="C53" s="1">
        <v>93913.3</v>
      </c>
      <c r="D53" s="1">
        <f>C53-Equation_Sheet!$B$2</f>
        <v>-7411.6999999999971</v>
      </c>
      <c r="H53">
        <f t="shared" si="0"/>
        <v>8.0103230809307716E-2</v>
      </c>
      <c r="I53" s="1">
        <f t="shared" si="1"/>
        <v>-0.26061224202484784</v>
      </c>
      <c r="J53" s="1"/>
      <c r="Y53">
        <v>-0.13548199999999999</v>
      </c>
    </row>
    <row r="54" spans="1:25" x14ac:dyDescent="0.3">
      <c r="A54">
        <v>1</v>
      </c>
      <c r="B54" s="1">
        <v>-2.44406E-2</v>
      </c>
      <c r="C54" s="1">
        <v>93770.8</v>
      </c>
      <c r="D54" s="1">
        <f>C54-Equation_Sheet!$B$2</f>
        <v>-7554.1999999999971</v>
      </c>
      <c r="H54">
        <f t="shared" si="0"/>
        <v>0.10203371964111542</v>
      </c>
      <c r="I54" s="1">
        <f t="shared" si="1"/>
        <v>-0.26562286637399052</v>
      </c>
      <c r="J54" s="1"/>
      <c r="Y54">
        <v>-0.14930099999999999</v>
      </c>
    </row>
    <row r="55" spans="1:25" x14ac:dyDescent="0.3">
      <c r="A55">
        <v>1</v>
      </c>
      <c r="B55" s="1">
        <v>-2.0181899999999999E-2</v>
      </c>
      <c r="C55" s="1">
        <v>92228.9</v>
      </c>
      <c r="D55" s="1">
        <f>C55-Equation_Sheet!$B$2</f>
        <v>-9096.1000000000058</v>
      </c>
      <c r="H55">
        <f t="shared" si="0"/>
        <v>0.12783354637813735</v>
      </c>
      <c r="I55" s="1">
        <f t="shared" si="1"/>
        <v>-0.31983957994552142</v>
      </c>
      <c r="J55" s="1"/>
      <c r="Y55">
        <v>-0.15213599999999999</v>
      </c>
    </row>
    <row r="56" spans="1:25" x14ac:dyDescent="0.3">
      <c r="A56">
        <v>1</v>
      </c>
      <c r="B56" s="1">
        <v>-1.52348E-2</v>
      </c>
      <c r="C56" s="1">
        <v>92585.2</v>
      </c>
      <c r="D56" s="1">
        <f>C56-Equation_Sheet!$B$2</f>
        <v>-8739.8000000000029</v>
      </c>
      <c r="H56">
        <f t="shared" si="0"/>
        <v>0.15780380088085444</v>
      </c>
      <c r="I56" s="1">
        <f t="shared" si="1"/>
        <v>-0.30731126095885786</v>
      </c>
      <c r="J56" s="1"/>
      <c r="Y56">
        <v>-0.16836699999999999</v>
      </c>
    </row>
    <row r="57" spans="1:25" x14ac:dyDescent="0.3">
      <c r="A57">
        <v>1</v>
      </c>
      <c r="B57" s="1">
        <v>-9.5662899999999999E-3</v>
      </c>
      <c r="C57" s="1">
        <v>92287.7</v>
      </c>
      <c r="D57" s="1">
        <f>C57-Equation_Sheet!$B$2</f>
        <v>-9037.3000000000029</v>
      </c>
      <c r="H57">
        <f t="shared" si="0"/>
        <v>0.19214446255156997</v>
      </c>
      <c r="I57" s="1">
        <f t="shared" si="1"/>
        <v>-0.31777203810882243</v>
      </c>
      <c r="J57" s="1"/>
      <c r="Y57">
        <v>-6.1420299999999997E-2</v>
      </c>
    </row>
    <row r="58" spans="1:25" x14ac:dyDescent="0.3">
      <c r="A58">
        <v>1</v>
      </c>
      <c r="B58" s="1">
        <v>-3.1673000000000001E-3</v>
      </c>
      <c r="C58" s="1">
        <v>92140.2</v>
      </c>
      <c r="D58" s="1">
        <f>C58-Equation_Sheet!$B$2</f>
        <v>-9184.8000000000029</v>
      </c>
      <c r="H58">
        <f t="shared" si="0"/>
        <v>0.23091047877528517</v>
      </c>
      <c r="I58" s="1">
        <f t="shared" si="1"/>
        <v>-0.32295847383863679</v>
      </c>
      <c r="J58" s="1"/>
      <c r="Y58">
        <v>-4.7297800000000001E-2</v>
      </c>
    </row>
    <row r="59" spans="1:25" x14ac:dyDescent="0.3">
      <c r="A59">
        <v>1</v>
      </c>
      <c r="B59" s="1">
        <v>3.9396300000000004E-3</v>
      </c>
      <c r="C59" s="1">
        <v>93025.600000000006</v>
      </c>
      <c r="D59" s="1">
        <f>C59-Equation_Sheet!$B$2</f>
        <v>-8299.3999999999942</v>
      </c>
      <c r="H59">
        <f t="shared" si="0"/>
        <v>0.27396529893921856</v>
      </c>
      <c r="I59" s="1">
        <f t="shared" si="1"/>
        <v>-0.29182579454929658</v>
      </c>
      <c r="J59" s="1"/>
      <c r="Y59">
        <v>0.35024699999999998</v>
      </c>
    </row>
    <row r="60" spans="1:25" x14ac:dyDescent="0.3">
      <c r="A60">
        <v>1</v>
      </c>
      <c r="B60" s="1">
        <v>1.1694700000000001E-2</v>
      </c>
      <c r="C60" s="1">
        <v>93180.3</v>
      </c>
      <c r="D60" s="1">
        <f>C60-Equation_Sheet!$B$2</f>
        <v>-8144.6999999999971</v>
      </c>
      <c r="H60">
        <f t="shared" si="0"/>
        <v>0.32094664590741939</v>
      </c>
      <c r="I60" s="1">
        <f t="shared" si="1"/>
        <v>-0.28638619043131514</v>
      </c>
      <c r="J60" s="1"/>
      <c r="Y60">
        <v>0.40376699999999999</v>
      </c>
    </row>
    <row r="61" spans="1:25" x14ac:dyDescent="0.3">
      <c r="A61">
        <v>1</v>
      </c>
      <c r="B61" s="1">
        <v>1.9998499999999999E-2</v>
      </c>
      <c r="C61" s="1">
        <v>93934.1</v>
      </c>
      <c r="D61" s="1">
        <f>C61-Equation_Sheet!$B$2</f>
        <v>-7390.8999999999942</v>
      </c>
      <c r="H61">
        <f t="shared" si="0"/>
        <v>0.37125227937746486</v>
      </c>
      <c r="I61" s="1">
        <f t="shared" si="1"/>
        <v>-0.2598808666812536</v>
      </c>
      <c r="J61" s="1"/>
      <c r="Y61">
        <v>0.440056</v>
      </c>
    </row>
    <row r="62" spans="1:25" x14ac:dyDescent="0.3">
      <c r="A62">
        <v>1</v>
      </c>
      <c r="B62" s="1">
        <v>2.8714E-2</v>
      </c>
      <c r="C62" s="1">
        <v>94723.4</v>
      </c>
      <c r="D62" s="1">
        <f>C62-Equation_Sheet!$B$2</f>
        <v>-6601.6000000000058</v>
      </c>
      <c r="H62">
        <f t="shared" si="0"/>
        <v>0.42405205159117204</v>
      </c>
      <c r="I62" s="1">
        <f t="shared" si="1"/>
        <v>-0.23212728212842368</v>
      </c>
      <c r="J62" s="1"/>
      <c r="Y62">
        <v>-0.33081899999999997</v>
      </c>
    </row>
    <row r="63" spans="1:25" x14ac:dyDescent="0.3">
      <c r="A63">
        <v>1</v>
      </c>
      <c r="B63" s="1">
        <v>3.76738E-2</v>
      </c>
      <c r="C63" s="1">
        <v>95482.5</v>
      </c>
      <c r="D63" s="1">
        <f>C63-Equation_Sheet!$B$2</f>
        <v>-5842.5</v>
      </c>
      <c r="H63">
        <f t="shared" si="0"/>
        <v>0.47833182889372183</v>
      </c>
      <c r="I63" s="1">
        <f t="shared" si="1"/>
        <v>-0.20543559831485006</v>
      </c>
      <c r="J63" s="1"/>
      <c r="Y63">
        <v>-0.354072</v>
      </c>
    </row>
    <row r="64" spans="1:25" x14ac:dyDescent="0.3">
      <c r="A64">
        <v>1</v>
      </c>
      <c r="B64" s="1">
        <v>4.6691799999999999E-2</v>
      </c>
      <c r="C64" s="1">
        <v>96295.1</v>
      </c>
      <c r="D64" s="1">
        <f>C64-Equation_Sheet!$B$2</f>
        <v>-5029.8999999999942</v>
      </c>
      <c r="H64">
        <f t="shared" si="0"/>
        <v>0.53296419029848474</v>
      </c>
      <c r="I64" s="1">
        <f t="shared" si="1"/>
        <v>-0.17686273272808953</v>
      </c>
      <c r="J64" s="1"/>
      <c r="Y64">
        <v>-0.39547700000000002</v>
      </c>
    </row>
    <row r="65" spans="1:25" x14ac:dyDescent="0.3">
      <c r="A65">
        <v>1</v>
      </c>
      <c r="B65" s="1">
        <v>5.5578200000000001E-2</v>
      </c>
      <c r="C65" s="1">
        <v>97137.8</v>
      </c>
      <c r="D65" s="1">
        <f>C65-Equation_Sheet!$B$2</f>
        <v>-4187.1999999999971</v>
      </c>
      <c r="H65">
        <f t="shared" si="0"/>
        <v>0.58679929967831246</v>
      </c>
      <c r="I65" s="1">
        <f t="shared" si="1"/>
        <v>-0.14723148262968586</v>
      </c>
      <c r="J65" s="1"/>
      <c r="Y65">
        <v>-0.39391199999999998</v>
      </c>
    </row>
    <row r="66" spans="1:25" x14ac:dyDescent="0.3">
      <c r="A66">
        <v>1</v>
      </c>
      <c r="B66" s="1">
        <v>6.4154799999999998E-2</v>
      </c>
      <c r="C66" s="1">
        <v>97974.399999999994</v>
      </c>
      <c r="D66" s="1">
        <f>C66-Equation_Sheet!$B$2</f>
        <v>-3350.6000000000058</v>
      </c>
      <c r="H66">
        <f t="shared" si="0"/>
        <v>0.63875759540065535</v>
      </c>
      <c r="I66" s="1">
        <f t="shared" si="1"/>
        <v>-0.1178147224157018</v>
      </c>
      <c r="J66" s="1"/>
      <c r="Y66">
        <v>-0.39511600000000002</v>
      </c>
    </row>
    <row r="67" spans="1:25" x14ac:dyDescent="0.3">
      <c r="A67">
        <v>1</v>
      </c>
      <c r="B67" s="1">
        <v>7.2268399999999997E-2</v>
      </c>
      <c r="C67" s="1">
        <v>98744.8</v>
      </c>
      <c r="D67" s="1">
        <f>C67-Equation_Sheet!$B$2</f>
        <v>-2580.1999999999971</v>
      </c>
      <c r="H67">
        <f t="shared" ref="H67:H80" si="2">(B67-$E$2)/$F$2</f>
        <v>0.6879109694851181</v>
      </c>
      <c r="I67" s="1">
        <f t="shared" ref="I67:I80" si="3">D67/$T$2</f>
        <v>-9.0725704881810101E-2</v>
      </c>
      <c r="J67" s="1"/>
      <c r="Y67">
        <v>-0.16674</v>
      </c>
    </row>
    <row r="68" spans="1:25" x14ac:dyDescent="0.3">
      <c r="A68">
        <v>1</v>
      </c>
      <c r="B68" s="1">
        <v>7.9800399999999994E-2</v>
      </c>
      <c r="C68" s="1">
        <v>99500.6</v>
      </c>
      <c r="D68" s="1">
        <f>C68-Equation_Sheet!$B$2</f>
        <v>-1824.3999999999942</v>
      </c>
      <c r="H68">
        <f t="shared" si="2"/>
        <v>0.73354092580588481</v>
      </c>
      <c r="I68" s="1">
        <f t="shared" si="3"/>
        <v>-6.4150056579479892E-2</v>
      </c>
      <c r="J68" s="1"/>
      <c r="Y68">
        <v>-0.16020999999999999</v>
      </c>
    </row>
    <row r="69" spans="1:25" x14ac:dyDescent="0.3">
      <c r="A69">
        <v>1</v>
      </c>
      <c r="B69" s="1">
        <v>8.6670899999999995E-2</v>
      </c>
      <c r="C69" s="1">
        <v>100429</v>
      </c>
      <c r="D69" s="1">
        <f>C69-Equation_Sheet!$B$2</f>
        <v>-896</v>
      </c>
      <c r="H69">
        <f t="shared" si="2"/>
        <v>0.77516341849067349</v>
      </c>
      <c r="I69" s="1">
        <f t="shared" si="3"/>
        <v>-3.1505399416363829E-2</v>
      </c>
      <c r="J69" s="1"/>
      <c r="Y69">
        <v>-0.13847699999999999</v>
      </c>
    </row>
    <row r="70" spans="1:25" x14ac:dyDescent="0.3">
      <c r="A70">
        <v>1</v>
      </c>
      <c r="B70" s="1">
        <v>9.2838599999999993E-2</v>
      </c>
      <c r="C70" s="1">
        <v>101040</v>
      </c>
      <c r="D70" s="1">
        <f>C70-Equation_Sheet!$B$2</f>
        <v>-285</v>
      </c>
      <c r="H70">
        <f t="shared" si="2"/>
        <v>0.81252824610612651</v>
      </c>
      <c r="I70" s="1">
        <f t="shared" si="3"/>
        <v>-1.0021248698285369E-2</v>
      </c>
      <c r="J70" s="1"/>
      <c r="Y70">
        <v>-0.17282800000000001</v>
      </c>
    </row>
    <row r="71" spans="1:25" x14ac:dyDescent="0.3">
      <c r="A71">
        <v>1</v>
      </c>
      <c r="B71" s="1">
        <v>9.8296599999999998E-2</v>
      </c>
      <c r="C71" s="1">
        <v>101966</v>
      </c>
      <c r="D71" s="1">
        <f>C71-Equation_Sheet!$B$2</f>
        <v>641</v>
      </c>
      <c r="H71">
        <f t="shared" si="2"/>
        <v>0.84559360744424983</v>
      </c>
      <c r="I71" s="1">
        <f t="shared" si="3"/>
        <v>2.2539019002108498E-2</v>
      </c>
      <c r="J71" s="1"/>
      <c r="Y71">
        <v>-0.14832000000000001</v>
      </c>
    </row>
    <row r="72" spans="1:25" x14ac:dyDescent="0.3">
      <c r="A72">
        <v>1</v>
      </c>
      <c r="B72" s="1">
        <v>0.103065</v>
      </c>
      <c r="C72" s="1">
        <v>103082</v>
      </c>
      <c r="D72" s="1">
        <f>C72-Equation_Sheet!$B$2</f>
        <v>1757</v>
      </c>
      <c r="H72">
        <f t="shared" si="2"/>
        <v>0.87448127124137465</v>
      </c>
      <c r="I72" s="1">
        <f t="shared" si="3"/>
        <v>6.1780119168025942E-2</v>
      </c>
      <c r="J72" s="1"/>
      <c r="Y72">
        <v>0.23211499999999999</v>
      </c>
    </row>
    <row r="73" spans="1:25" x14ac:dyDescent="0.3">
      <c r="A73">
        <v>1</v>
      </c>
      <c r="B73" s="1">
        <v>0.107186</v>
      </c>
      <c r="C73" s="1">
        <v>103274</v>
      </c>
      <c r="D73" s="1">
        <f>C73-Equation_Sheet!$B$2</f>
        <v>1949</v>
      </c>
      <c r="H73">
        <f t="shared" si="2"/>
        <v>0.8994468912623359</v>
      </c>
      <c r="I73" s="1">
        <f t="shared" si="3"/>
        <v>6.8531276185818182E-2</v>
      </c>
      <c r="J73" s="1"/>
      <c r="Y73">
        <v>0.13378399999999999</v>
      </c>
    </row>
    <row r="74" spans="1:25" x14ac:dyDescent="0.3">
      <c r="A74">
        <v>1</v>
      </c>
      <c r="B74" s="1">
        <v>0.11071300000000001</v>
      </c>
      <c r="C74" s="1">
        <v>105556</v>
      </c>
      <c r="D74" s="1">
        <f>C74-Equation_Sheet!$B$2</f>
        <v>4231</v>
      </c>
      <c r="H74">
        <f t="shared" si="2"/>
        <v>0.92081397250813313</v>
      </c>
      <c r="I74" s="1">
        <f t="shared" si="3"/>
        <v>0.14877159032436982</v>
      </c>
      <c r="J74" s="1"/>
      <c r="Y74">
        <v>0.31934299999999999</v>
      </c>
    </row>
    <row r="75" spans="1:25" x14ac:dyDescent="0.3">
      <c r="A75">
        <v>1</v>
      </c>
      <c r="B75" s="1">
        <v>0.113707</v>
      </c>
      <c r="C75" s="1">
        <v>106238</v>
      </c>
      <c r="D75" s="1">
        <f>C75-Equation_Sheet!$B$2</f>
        <v>4913</v>
      </c>
      <c r="H75">
        <f t="shared" si="2"/>
        <v>0.93895206189002045</v>
      </c>
      <c r="I75" s="1">
        <f t="shared" si="3"/>
        <v>0.17275226264798602</v>
      </c>
      <c r="J75" s="1"/>
      <c r="Y75">
        <v>-0.16566400000000001</v>
      </c>
    </row>
    <row r="76" spans="1:25" x14ac:dyDescent="0.3">
      <c r="A76">
        <v>1</v>
      </c>
      <c r="B76" s="1">
        <v>0.11623</v>
      </c>
      <c r="C76" s="1">
        <v>105249</v>
      </c>
      <c r="D76" s="1">
        <f>C76-Equation_Sheet!$B$2</f>
        <v>3924</v>
      </c>
      <c r="H76">
        <f t="shared" si="2"/>
        <v>0.95423676446533834</v>
      </c>
      <c r="I76" s="1">
        <f t="shared" si="3"/>
        <v>0.13797677155112908</v>
      </c>
      <c r="J76" s="1"/>
      <c r="Y76">
        <v>-0.39310899999999999</v>
      </c>
    </row>
    <row r="77" spans="1:25" x14ac:dyDescent="0.3">
      <c r="A77">
        <v>1</v>
      </c>
      <c r="B77" s="1">
        <v>0.118344</v>
      </c>
      <c r="C77" s="1">
        <v>114905</v>
      </c>
      <c r="D77" s="1">
        <f>C77-Equation_Sheet!$B$2</f>
        <v>13580</v>
      </c>
      <c r="H77">
        <f t="shared" si="2"/>
        <v>0.96704368529142715</v>
      </c>
      <c r="I77" s="1">
        <f t="shared" si="3"/>
        <v>0.47750370990426422</v>
      </c>
      <c r="J77" s="1"/>
      <c r="Y77">
        <v>-1.8074099999999999E-2</v>
      </c>
    </row>
    <row r="78" spans="1:25" x14ac:dyDescent="0.3">
      <c r="A78">
        <v>1</v>
      </c>
      <c r="B78" s="1">
        <v>0.12010800000000001</v>
      </c>
      <c r="C78" s="1">
        <v>107528</v>
      </c>
      <c r="D78" s="1">
        <f>C78-Equation_Sheet!$B$2</f>
        <v>6203</v>
      </c>
      <c r="H78">
        <f t="shared" si="2"/>
        <v>0.97773025498736865</v>
      </c>
      <c r="I78" s="1">
        <f t="shared" si="3"/>
        <v>0.21811159886127771</v>
      </c>
      <c r="J78" s="1"/>
      <c r="Y78">
        <v>-1.6416199999999999E-2</v>
      </c>
    </row>
    <row r="79" spans="1:25" x14ac:dyDescent="0.3">
      <c r="A79">
        <v>1</v>
      </c>
      <c r="B79" s="1">
        <v>0.121572</v>
      </c>
      <c r="C79" s="1">
        <v>117231</v>
      </c>
      <c r="D79" s="1">
        <f>C79-Equation_Sheet!$B$2</f>
        <v>15906</v>
      </c>
      <c r="H79">
        <f t="shared" si="2"/>
        <v>0.9865993808574699</v>
      </c>
      <c r="I79" s="1">
        <f t="shared" si="3"/>
        <v>0.55929116419272662</v>
      </c>
      <c r="J79" s="1"/>
      <c r="Y79">
        <v>-3.3444000000000002E-2</v>
      </c>
    </row>
    <row r="80" spans="1:25" x14ac:dyDescent="0.3">
      <c r="A80">
        <v>1</v>
      </c>
      <c r="B80" s="1">
        <v>0.122784</v>
      </c>
      <c r="C80" s="1">
        <v>133272</v>
      </c>
      <c r="D80" s="1">
        <f>C80-Equation_Sheet!$B$2</f>
        <v>31947</v>
      </c>
      <c r="H80">
        <f t="shared" si="2"/>
        <v>0.99394185391386525</v>
      </c>
      <c r="I80" s="1">
        <f t="shared" si="3"/>
        <v>1.1233292356635884</v>
      </c>
      <c r="J80" s="1"/>
    </row>
    <row r="81" spans="9:10" x14ac:dyDescent="0.3">
      <c r="I81" s="1"/>
      <c r="J81" s="1"/>
    </row>
    <row r="82" spans="9:10" x14ac:dyDescent="0.3">
      <c r="J82" s="1"/>
    </row>
  </sheetData>
  <sortState xmlns:xlrd2="http://schemas.microsoft.com/office/spreadsheetml/2017/richdata2" ref="A2:C82">
    <sortCondition descending="1" ref="A1:A82"/>
  </sortState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93EDC-6E1B-4601-9B64-BB8FA7B95D3A}">
  <dimension ref="A1:Y80"/>
  <sheetViews>
    <sheetView workbookViewId="0">
      <selection activeCell="L3" sqref="L3"/>
    </sheetView>
  </sheetViews>
  <sheetFormatPr defaultRowHeight="16.5" x14ac:dyDescent="0.3"/>
  <cols>
    <col min="2" max="5" width="9" style="1"/>
  </cols>
  <sheetData>
    <row r="1" spans="1:25" x14ac:dyDescent="0.3">
      <c r="B1" s="1" t="s">
        <v>0</v>
      </c>
      <c r="C1" s="1" t="s">
        <v>1</v>
      </c>
      <c r="R1" s="2" t="s">
        <v>8</v>
      </c>
      <c r="S1" t="s">
        <v>9</v>
      </c>
      <c r="T1" t="s">
        <v>7</v>
      </c>
      <c r="Y1" t="s">
        <v>15</v>
      </c>
    </row>
    <row r="2" spans="1:25" x14ac:dyDescent="0.3">
      <c r="A2">
        <v>2</v>
      </c>
      <c r="B2" s="1">
        <v>-4.1184499999999999E-2</v>
      </c>
      <c r="C2" s="1">
        <v>130727</v>
      </c>
      <c r="D2" s="1">
        <f>C2-Equation_Sheet!$B$2</f>
        <v>29402</v>
      </c>
      <c r="E2">
        <f>MIN(B:B)</f>
        <v>-4.1283E-2</v>
      </c>
      <c r="F2">
        <f>E3-E2</f>
        <v>0.16506700000000002</v>
      </c>
      <c r="H2">
        <f>(B2-$E$2)/$F$2</f>
        <v>5.9672738948427818E-4</v>
      </c>
      <c r="I2" s="1">
        <f>D2/$T$2</f>
        <v>0.77590100300650444</v>
      </c>
      <c r="R2">
        <v>0.95</v>
      </c>
      <c r="S2">
        <f>R2*Equation_Sheet!$D$2</f>
        <v>248.70941840919195</v>
      </c>
      <c r="T2">
        <f>(Equation_Sheet!$E$2*'0.8'!S2^2)/2</f>
        <v>37894.009527080765</v>
      </c>
      <c r="Y2">
        <v>0.42406500000000003</v>
      </c>
    </row>
    <row r="3" spans="1:25" x14ac:dyDescent="0.3">
      <c r="A3">
        <v>2</v>
      </c>
      <c r="B3" s="1">
        <v>-4.0910599999999998E-2</v>
      </c>
      <c r="C3" s="1">
        <v>133321</v>
      </c>
      <c r="D3" s="1">
        <f>C3-Equation_Sheet!$B$2</f>
        <v>31996</v>
      </c>
      <c r="E3">
        <f>MAX(B:B)</f>
        <v>0.12378400000000001</v>
      </c>
      <c r="H3">
        <f t="shared" ref="H3:H66" si="0">(B3-$E$2)/$F$2</f>
        <v>2.2560536024765813E-3</v>
      </c>
      <c r="I3" s="1">
        <f t="shared" ref="I3:I66" si="1">D3/$T$2</f>
        <v>0.84435509462608382</v>
      </c>
      <c r="Y3">
        <v>0.63993500000000003</v>
      </c>
    </row>
    <row r="4" spans="1:25" x14ac:dyDescent="0.3">
      <c r="A4">
        <v>2</v>
      </c>
      <c r="B4" s="1">
        <v>-4.04312E-2</v>
      </c>
      <c r="C4" s="1">
        <v>115476</v>
      </c>
      <c r="D4" s="1">
        <f>C4-Equation_Sheet!$B$2</f>
        <v>14151</v>
      </c>
      <c r="H4">
        <f t="shared" si="0"/>
        <v>5.1603288361695534E-3</v>
      </c>
      <c r="I4" s="1">
        <f t="shared" si="1"/>
        <v>0.3734363340434339</v>
      </c>
      <c r="Y4">
        <v>0.48048099999999999</v>
      </c>
    </row>
    <row r="5" spans="1:25" x14ac:dyDescent="0.3">
      <c r="A5">
        <v>2</v>
      </c>
      <c r="B5" s="1">
        <v>-3.9751000000000002E-2</v>
      </c>
      <c r="C5" s="1">
        <v>105057</v>
      </c>
      <c r="D5" s="1">
        <f>C5-Equation_Sheet!$B$2</f>
        <v>3732</v>
      </c>
      <c r="H5">
        <f t="shared" si="0"/>
        <v>9.2810798039583836E-3</v>
      </c>
      <c r="I5" s="1">
        <f t="shared" si="1"/>
        <v>9.848522356371249E-2</v>
      </c>
      <c r="Y5">
        <v>0.71694199999999997</v>
      </c>
    </row>
    <row r="6" spans="1:25" x14ac:dyDescent="0.3">
      <c r="A6">
        <v>2</v>
      </c>
      <c r="B6" s="1">
        <v>-3.8819800000000002E-2</v>
      </c>
      <c r="C6" s="1">
        <v>94724.5</v>
      </c>
      <c r="D6" s="1">
        <f>C6-Equation_Sheet!$B$2</f>
        <v>-6600.5</v>
      </c>
      <c r="H6">
        <f t="shared" si="0"/>
        <v>1.4922425439367035E-2</v>
      </c>
      <c r="I6" s="1">
        <f t="shared" si="1"/>
        <v>-0.17418320421551026</v>
      </c>
      <c r="Y6">
        <v>-2.34422E-2</v>
      </c>
    </row>
    <row r="7" spans="1:25" x14ac:dyDescent="0.3">
      <c r="A7">
        <v>2</v>
      </c>
      <c r="B7" s="1">
        <v>-3.7612399999999997E-2</v>
      </c>
      <c r="C7" s="1">
        <v>87348.7</v>
      </c>
      <c r="D7" s="1">
        <f>C7-Equation_Sheet!$B$2</f>
        <v>-13976.300000000003</v>
      </c>
      <c r="H7">
        <f t="shared" si="0"/>
        <v>2.2237031023766122E-2</v>
      </c>
      <c r="I7" s="1">
        <f t="shared" si="1"/>
        <v>-0.36882610667028809</v>
      </c>
      <c r="Y7">
        <v>0.41909800000000003</v>
      </c>
    </row>
    <row r="8" spans="1:25" x14ac:dyDescent="0.3">
      <c r="A8">
        <v>2</v>
      </c>
      <c r="B8" s="1">
        <v>-3.6096099999999999E-2</v>
      </c>
      <c r="C8" s="1">
        <v>81933.899999999994</v>
      </c>
      <c r="D8" s="1">
        <f>C8-Equation_Sheet!$B$2</f>
        <v>-19391.100000000006</v>
      </c>
      <c r="H8">
        <f t="shared" si="0"/>
        <v>3.1422997934172185E-2</v>
      </c>
      <c r="I8" s="1">
        <f t="shared" si="1"/>
        <v>-0.51171940478196831</v>
      </c>
      <c r="Y8">
        <v>0.17446300000000001</v>
      </c>
    </row>
    <row r="9" spans="1:25" x14ac:dyDescent="0.3">
      <c r="A9">
        <v>2</v>
      </c>
      <c r="B9" s="1">
        <v>-3.4229799999999998E-2</v>
      </c>
      <c r="C9" s="1">
        <v>76600.5</v>
      </c>
      <c r="D9" s="1">
        <f>C9-Equation_Sheet!$B$2</f>
        <v>-24724.5</v>
      </c>
      <c r="H9">
        <f t="shared" si="0"/>
        <v>4.2729315974725422E-2</v>
      </c>
      <c r="I9" s="1">
        <f t="shared" si="1"/>
        <v>-0.65246460610959522</v>
      </c>
      <c r="Y9">
        <v>0.320079</v>
      </c>
    </row>
    <row r="10" spans="1:25" x14ac:dyDescent="0.3">
      <c r="A10">
        <v>2</v>
      </c>
      <c r="B10" s="1">
        <v>-3.1964699999999999E-2</v>
      </c>
      <c r="C10" s="1">
        <v>70381.3</v>
      </c>
      <c r="D10" s="1">
        <f>C10-Equation_Sheet!$B$2</f>
        <v>-30943.699999999997</v>
      </c>
      <c r="H10">
        <f t="shared" si="0"/>
        <v>5.6451622674429172E-2</v>
      </c>
      <c r="I10" s="1">
        <f t="shared" si="1"/>
        <v>-0.81658553386614408</v>
      </c>
      <c r="Y10">
        <v>0.12714200000000001</v>
      </c>
    </row>
    <row r="11" spans="1:25" x14ac:dyDescent="0.3">
      <c r="A11">
        <v>2</v>
      </c>
      <c r="B11" s="1">
        <v>-2.9246100000000001E-2</v>
      </c>
      <c r="C11" s="1">
        <v>70459.199999999997</v>
      </c>
      <c r="D11" s="1">
        <f>C11-Equation_Sheet!$B$2</f>
        <v>-30865.800000000003</v>
      </c>
      <c r="H11">
        <f t="shared" si="0"/>
        <v>7.2921298624195011E-2</v>
      </c>
      <c r="I11" s="1">
        <f t="shared" si="1"/>
        <v>-0.81452979996592634</v>
      </c>
      <c r="Y11">
        <v>0.13556000000000001</v>
      </c>
    </row>
    <row r="12" spans="1:25" x14ac:dyDescent="0.3">
      <c r="A12">
        <v>2</v>
      </c>
      <c r="B12" s="1">
        <v>-2.6016000000000001E-2</v>
      </c>
      <c r="C12" s="1">
        <v>69769.2</v>
      </c>
      <c r="D12" s="1">
        <f>C12-Equation_Sheet!$B$2</f>
        <v>-31555.800000000003</v>
      </c>
      <c r="H12">
        <f t="shared" si="0"/>
        <v>9.248971629701877E-2</v>
      </c>
      <c r="I12" s="1">
        <f t="shared" si="1"/>
        <v>-0.83273848277915297</v>
      </c>
      <c r="Y12">
        <v>0.110543</v>
      </c>
    </row>
    <row r="13" spans="1:25" x14ac:dyDescent="0.3">
      <c r="A13">
        <v>2</v>
      </c>
      <c r="B13" s="1">
        <v>-2.2216400000000001E-2</v>
      </c>
      <c r="C13" s="1">
        <v>69773.2</v>
      </c>
      <c r="D13" s="1">
        <f>C13-Equation_Sheet!$B$2</f>
        <v>-31551.800000000003</v>
      </c>
      <c r="H13">
        <f t="shared" si="0"/>
        <v>0.11550824816589626</v>
      </c>
      <c r="I13" s="1">
        <f t="shared" si="1"/>
        <v>-0.83263292519762699</v>
      </c>
      <c r="Y13">
        <v>6.0755499999999997E-2</v>
      </c>
    </row>
    <row r="14" spans="1:25" x14ac:dyDescent="0.3">
      <c r="A14">
        <v>2</v>
      </c>
      <c r="B14" s="1">
        <v>-1.7793699999999999E-2</v>
      </c>
      <c r="C14" s="1">
        <v>71226.899999999994</v>
      </c>
      <c r="D14" s="1">
        <f>C14-Equation_Sheet!$B$2</f>
        <v>-30098.100000000006</v>
      </c>
      <c r="H14">
        <f t="shared" si="0"/>
        <v>0.14230161086104429</v>
      </c>
      <c r="I14" s="1">
        <f t="shared" si="1"/>
        <v>-0.7942706611315582</v>
      </c>
      <c r="Y14">
        <v>5.2097499999999998E-2</v>
      </c>
    </row>
    <row r="15" spans="1:25" x14ac:dyDescent="0.3">
      <c r="A15">
        <v>2</v>
      </c>
      <c r="B15" s="1">
        <v>-1.27049E-2</v>
      </c>
      <c r="C15" s="1">
        <v>71819.7</v>
      </c>
      <c r="D15" s="1">
        <f>C15-Equation_Sheet!$B$2</f>
        <v>-29505.300000000003</v>
      </c>
      <c r="H15">
        <f t="shared" si="0"/>
        <v>0.17313030466416665</v>
      </c>
      <c r="I15" s="1">
        <f t="shared" si="1"/>
        <v>-0.77862702754941215</v>
      </c>
      <c r="Y15">
        <v>1.8484E-2</v>
      </c>
    </row>
    <row r="16" spans="1:25" x14ac:dyDescent="0.3">
      <c r="A16">
        <v>2</v>
      </c>
      <c r="B16" s="1">
        <v>-6.92334E-3</v>
      </c>
      <c r="C16" s="1">
        <v>74923.3</v>
      </c>
      <c r="D16" s="1">
        <f>C16-Equation_Sheet!$B$2</f>
        <v>-26401.699999999997</v>
      </c>
      <c r="H16">
        <f t="shared" si="0"/>
        <v>0.20815583974991972</v>
      </c>
      <c r="I16" s="1">
        <f t="shared" si="1"/>
        <v>-0.69672490004342646</v>
      </c>
      <c r="Y16">
        <v>1.3335599999999999E-3</v>
      </c>
    </row>
    <row r="17" spans="1:25" x14ac:dyDescent="0.3">
      <c r="A17">
        <v>2</v>
      </c>
      <c r="B17" s="1">
        <v>-4.46744E-4</v>
      </c>
      <c r="C17" s="1">
        <v>77534.5</v>
      </c>
      <c r="D17" s="1">
        <f>C17-Equation_Sheet!$B$2</f>
        <v>-23790.5</v>
      </c>
      <c r="H17">
        <f t="shared" si="0"/>
        <v>0.2473920044587955</v>
      </c>
      <c r="I17" s="1">
        <f t="shared" si="1"/>
        <v>-0.62781691082328561</v>
      </c>
      <c r="Y17">
        <v>0.69863299999999995</v>
      </c>
    </row>
    <row r="18" spans="1:25" x14ac:dyDescent="0.3">
      <c r="A18">
        <v>2</v>
      </c>
      <c r="B18" s="1">
        <v>6.69683E-3</v>
      </c>
      <c r="C18" s="1">
        <v>80428.800000000003</v>
      </c>
      <c r="D18" s="1">
        <f>C18-Equation_Sheet!$B$2</f>
        <v>-20896.199999999997</v>
      </c>
      <c r="H18">
        <f t="shared" si="0"/>
        <v>0.29066881932790922</v>
      </c>
      <c r="I18" s="1">
        <f t="shared" si="1"/>
        <v>-0.5514380837706454</v>
      </c>
      <c r="Y18">
        <v>-4.9916200000000001E-2</v>
      </c>
    </row>
    <row r="19" spans="1:25" x14ac:dyDescent="0.3">
      <c r="A19">
        <v>2</v>
      </c>
      <c r="B19" s="1">
        <v>1.4444E-2</v>
      </c>
      <c r="C19" s="1">
        <v>82758.399999999994</v>
      </c>
      <c r="D19" s="1">
        <f>C19-Equation_Sheet!$B$2</f>
        <v>-18566.600000000006</v>
      </c>
      <c r="H19">
        <f t="shared" si="0"/>
        <v>0.33760230694202953</v>
      </c>
      <c r="I19" s="1">
        <f t="shared" si="1"/>
        <v>-0.4899613482899316</v>
      </c>
      <c r="Y19">
        <v>-0.108347</v>
      </c>
    </row>
    <row r="20" spans="1:25" x14ac:dyDescent="0.3">
      <c r="A20">
        <v>2</v>
      </c>
      <c r="B20" s="1">
        <v>2.2694200000000001E-2</v>
      </c>
      <c r="C20" s="1">
        <v>85163.1</v>
      </c>
      <c r="D20" s="1">
        <f>C20-Equation_Sheet!$B$2</f>
        <v>-16161.899999999994</v>
      </c>
      <c r="H20">
        <f t="shared" si="0"/>
        <v>0.38758322378185822</v>
      </c>
      <c r="I20" s="1">
        <f t="shared" si="1"/>
        <v>-0.42650276921606761</v>
      </c>
      <c r="Y20">
        <v>2.7294800000000001E-2</v>
      </c>
    </row>
    <row r="21" spans="1:25" x14ac:dyDescent="0.3">
      <c r="A21">
        <v>2</v>
      </c>
      <c r="B21" s="1">
        <v>3.1312600000000003E-2</v>
      </c>
      <c r="C21" s="1">
        <v>87365</v>
      </c>
      <c r="D21" s="1">
        <f>C21-Equation_Sheet!$B$2</f>
        <v>-13960</v>
      </c>
      <c r="H21">
        <f t="shared" si="0"/>
        <v>0.43979475001060175</v>
      </c>
      <c r="I21" s="1">
        <f t="shared" si="1"/>
        <v>-0.36839595952556975</v>
      </c>
      <c r="Y21">
        <v>-0.16242999999999999</v>
      </c>
    </row>
    <row r="22" spans="1:25" x14ac:dyDescent="0.3">
      <c r="A22">
        <v>2</v>
      </c>
      <c r="B22" s="1">
        <v>4.0136400000000003E-2</v>
      </c>
      <c r="C22" s="1">
        <v>89505.9</v>
      </c>
      <c r="D22" s="1">
        <f>C22-Equation_Sheet!$B$2</f>
        <v>-11819.100000000006</v>
      </c>
      <c r="H22">
        <f t="shared" si="0"/>
        <v>0.49325061944543724</v>
      </c>
      <c r="I22" s="1">
        <f t="shared" si="1"/>
        <v>-0.31189890295334266</v>
      </c>
      <c r="Y22">
        <v>-0.14413200000000001</v>
      </c>
    </row>
    <row r="23" spans="1:25" x14ac:dyDescent="0.3">
      <c r="A23">
        <v>2</v>
      </c>
      <c r="B23" s="1">
        <v>4.8986799999999997E-2</v>
      </c>
      <c r="C23" s="1">
        <v>91461.2</v>
      </c>
      <c r="D23" s="1">
        <f>C23-Equation_Sheet!$B$2</f>
        <v>-9863.8000000000029</v>
      </c>
      <c r="H23">
        <f t="shared" si="0"/>
        <v>0.54686763556616391</v>
      </c>
      <c r="I23" s="1">
        <f t="shared" si="1"/>
        <v>-0.2602997181639195</v>
      </c>
      <c r="Y23">
        <v>-0.183647</v>
      </c>
    </row>
    <row r="24" spans="1:25" x14ac:dyDescent="0.3">
      <c r="A24">
        <v>2</v>
      </c>
      <c r="B24" s="1">
        <v>5.7682400000000002E-2</v>
      </c>
      <c r="C24" s="1">
        <v>93256.1</v>
      </c>
      <c r="D24" s="1">
        <f>C24-Equation_Sheet!$B$2</f>
        <v>-8068.8999999999942</v>
      </c>
      <c r="H24">
        <f t="shared" si="0"/>
        <v>0.59954685067275715</v>
      </c>
      <c r="I24" s="1">
        <f t="shared" si="1"/>
        <v>-0.2129333923936868</v>
      </c>
      <c r="Y24">
        <v>-0.19952400000000001</v>
      </c>
    </row>
    <row r="25" spans="1:25" x14ac:dyDescent="0.3">
      <c r="A25">
        <v>2</v>
      </c>
      <c r="B25" s="1">
        <v>6.6054000000000002E-2</v>
      </c>
      <c r="C25" s="1">
        <v>94942.5</v>
      </c>
      <c r="D25" s="1">
        <f>C25-Equation_Sheet!$B$2</f>
        <v>-6382.5</v>
      </c>
      <c r="H25">
        <f t="shared" si="0"/>
        <v>0.6502632264474425</v>
      </c>
      <c r="I25" s="1">
        <f t="shared" si="1"/>
        <v>-0.1684303160223459</v>
      </c>
      <c r="Y25">
        <v>-0.21396699999999999</v>
      </c>
    </row>
    <row r="26" spans="1:25" x14ac:dyDescent="0.3">
      <c r="A26">
        <v>2</v>
      </c>
      <c r="B26" s="1">
        <v>7.3956800000000003E-2</v>
      </c>
      <c r="C26" s="1">
        <v>96294.6</v>
      </c>
      <c r="D26" s="1">
        <f>C26-Equation_Sheet!$B$2</f>
        <v>-5030.3999999999942</v>
      </c>
      <c r="H26">
        <f t="shared" si="0"/>
        <v>0.69813954333694794</v>
      </c>
      <c r="I26" s="1">
        <f t="shared" si="1"/>
        <v>-0.13274921452703609</v>
      </c>
      <c r="Y26">
        <v>-0.21559</v>
      </c>
    </row>
    <row r="27" spans="1:25" x14ac:dyDescent="0.3">
      <c r="A27">
        <v>2</v>
      </c>
      <c r="B27" s="1">
        <v>8.1279299999999999E-2</v>
      </c>
      <c r="C27" s="1">
        <v>98006.7</v>
      </c>
      <c r="D27" s="1">
        <f>C27-Equation_Sheet!$B$2</f>
        <v>-3318.3000000000029</v>
      </c>
      <c r="H27">
        <f t="shared" si="0"/>
        <v>0.74250031805266947</v>
      </c>
      <c r="I27" s="1">
        <f t="shared" si="1"/>
        <v>-8.7567930694391061E-2</v>
      </c>
      <c r="Y27">
        <v>-0.21152399999999999</v>
      </c>
    </row>
    <row r="28" spans="1:25" x14ac:dyDescent="0.3">
      <c r="A28">
        <v>2</v>
      </c>
      <c r="B28" s="1">
        <v>8.7947899999999996E-2</v>
      </c>
      <c r="C28" s="1">
        <v>99498.2</v>
      </c>
      <c r="D28" s="1">
        <f>C28-Equation_Sheet!$B$2</f>
        <v>-1826.8000000000029</v>
      </c>
      <c r="H28">
        <f t="shared" si="0"/>
        <v>0.78289967104266733</v>
      </c>
      <c r="I28" s="1">
        <f t="shared" si="1"/>
        <v>-4.8208147482901996E-2</v>
      </c>
      <c r="Y28">
        <v>-0.21412600000000001</v>
      </c>
    </row>
    <row r="29" spans="1:25" x14ac:dyDescent="0.3">
      <c r="A29">
        <v>2</v>
      </c>
      <c r="B29" s="1">
        <v>9.3925599999999998E-2</v>
      </c>
      <c r="C29" s="1">
        <v>100642</v>
      </c>
      <c r="D29" s="1">
        <f>C29-Equation_Sheet!$B$2</f>
        <v>-683</v>
      </c>
      <c r="H29">
        <f t="shared" si="0"/>
        <v>0.81911345090175502</v>
      </c>
      <c r="I29" s="1">
        <f t="shared" si="1"/>
        <v>-1.802395704555617E-2</v>
      </c>
      <c r="Y29">
        <v>-0.18534</v>
      </c>
    </row>
    <row r="30" spans="1:25" x14ac:dyDescent="0.3">
      <c r="A30">
        <v>2</v>
      </c>
      <c r="B30" s="1">
        <v>9.9208299999999999E-2</v>
      </c>
      <c r="C30" s="1">
        <v>101935</v>
      </c>
      <c r="D30" s="1">
        <f>C30-Equation_Sheet!$B$2</f>
        <v>610</v>
      </c>
      <c r="H30">
        <f t="shared" si="0"/>
        <v>0.85111681923097871</v>
      </c>
      <c r="I30" s="1">
        <f t="shared" si="1"/>
        <v>1.6097531182707559E-2</v>
      </c>
      <c r="Y30">
        <v>-0.16095699999999999</v>
      </c>
    </row>
    <row r="31" spans="1:25" x14ac:dyDescent="0.3">
      <c r="A31">
        <v>2</v>
      </c>
      <c r="B31" s="1">
        <v>0.10381899999999999</v>
      </c>
      <c r="C31" s="1">
        <v>103938</v>
      </c>
      <c r="D31" s="1">
        <f>C31-Equation_Sheet!$B$2</f>
        <v>2613</v>
      </c>
      <c r="H31">
        <f t="shared" si="0"/>
        <v>0.87904911339032021</v>
      </c>
      <c r="I31" s="1">
        <f t="shared" si="1"/>
        <v>6.8955490131827626E-2</v>
      </c>
      <c r="Y31">
        <v>-0.161083</v>
      </c>
    </row>
    <row r="32" spans="1:25" x14ac:dyDescent="0.3">
      <c r="A32">
        <v>2</v>
      </c>
      <c r="B32" s="1">
        <v>0.107798</v>
      </c>
      <c r="C32" s="1">
        <v>104151</v>
      </c>
      <c r="D32" s="1">
        <f>C32-Equation_Sheet!$B$2</f>
        <v>2826</v>
      </c>
      <c r="H32">
        <f t="shared" si="0"/>
        <v>0.9031544766670504</v>
      </c>
      <c r="I32" s="1">
        <f t="shared" si="1"/>
        <v>7.4576431348084532E-2</v>
      </c>
      <c r="Y32">
        <v>5.1805900000000002E-2</v>
      </c>
    </row>
    <row r="33" spans="1:25" x14ac:dyDescent="0.3">
      <c r="A33">
        <v>2</v>
      </c>
      <c r="B33" s="1">
        <v>0.11120099999999999</v>
      </c>
      <c r="C33" s="1">
        <v>107506</v>
      </c>
      <c r="D33" s="1">
        <f>C33-Equation_Sheet!$B$2</f>
        <v>6181</v>
      </c>
      <c r="H33">
        <f t="shared" si="0"/>
        <v>0.9237703477981668</v>
      </c>
      <c r="I33" s="1">
        <f t="shared" si="1"/>
        <v>0.16311285285297611</v>
      </c>
      <c r="Y33">
        <v>4.7906299999999999E-2</v>
      </c>
    </row>
    <row r="34" spans="1:25" x14ac:dyDescent="0.3">
      <c r="A34">
        <v>2</v>
      </c>
      <c r="B34" s="1">
        <v>0.11408699999999999</v>
      </c>
      <c r="C34" s="1">
        <v>107483</v>
      </c>
      <c r="D34" s="1">
        <f>C34-Equation_Sheet!$B$2</f>
        <v>6158</v>
      </c>
      <c r="H34">
        <f t="shared" si="0"/>
        <v>0.94125415740275153</v>
      </c>
      <c r="I34" s="1">
        <f t="shared" si="1"/>
        <v>0.16250589675920191</v>
      </c>
      <c r="Y34">
        <v>0.113298</v>
      </c>
    </row>
    <row r="35" spans="1:25" x14ac:dyDescent="0.3">
      <c r="A35">
        <v>2</v>
      </c>
      <c r="B35" s="1">
        <v>0.116517</v>
      </c>
      <c r="C35" s="1">
        <v>108116</v>
      </c>
      <c r="D35" s="1">
        <f>C35-Equation_Sheet!$B$2</f>
        <v>6791</v>
      </c>
      <c r="H35">
        <f t="shared" si="0"/>
        <v>0.95597545239205883</v>
      </c>
      <c r="I35" s="1">
        <f t="shared" si="1"/>
        <v>0.17921038403568368</v>
      </c>
      <c r="Y35">
        <v>0.112884</v>
      </c>
    </row>
    <row r="36" spans="1:25" x14ac:dyDescent="0.3">
      <c r="A36">
        <v>2</v>
      </c>
      <c r="B36" s="1">
        <v>0.11855300000000001</v>
      </c>
      <c r="C36" s="1">
        <v>118095</v>
      </c>
      <c r="D36" s="1">
        <f>C36-Equation_Sheet!$B$2</f>
        <v>16770</v>
      </c>
      <c r="H36">
        <f t="shared" si="0"/>
        <v>0.96830983782342916</v>
      </c>
      <c r="I36" s="1">
        <f t="shared" si="1"/>
        <v>0.44255016054755048</v>
      </c>
      <c r="Y36">
        <v>0.36239300000000002</v>
      </c>
    </row>
    <row r="37" spans="1:25" x14ac:dyDescent="0.3">
      <c r="A37">
        <v>2</v>
      </c>
      <c r="B37" s="1">
        <v>0.12024899999999999</v>
      </c>
      <c r="C37" s="1">
        <v>111149</v>
      </c>
      <c r="D37" s="1">
        <f>C37-Equation_Sheet!$B$2</f>
        <v>9824</v>
      </c>
      <c r="H37">
        <f t="shared" si="0"/>
        <v>0.97858445358551371</v>
      </c>
      <c r="I37" s="1">
        <f t="shared" si="1"/>
        <v>0.25924942022773617</v>
      </c>
      <c r="Y37">
        <v>0.180085</v>
      </c>
    </row>
    <row r="38" spans="1:25" x14ac:dyDescent="0.3">
      <c r="A38">
        <v>2</v>
      </c>
      <c r="B38" s="1">
        <v>0.121658</v>
      </c>
      <c r="C38" s="1">
        <v>121094</v>
      </c>
      <c r="D38" s="1">
        <f>C38-Equation_Sheet!$B$2</f>
        <v>19769</v>
      </c>
      <c r="H38">
        <f t="shared" si="0"/>
        <v>0.98712038142087744</v>
      </c>
      <c r="I38" s="1">
        <f t="shared" si="1"/>
        <v>0.52169195729663242</v>
      </c>
      <c r="Y38">
        <v>-0.35545900000000002</v>
      </c>
    </row>
    <row r="39" spans="1:25" x14ac:dyDescent="0.3">
      <c r="A39">
        <v>2</v>
      </c>
      <c r="B39" s="1">
        <v>0.122822</v>
      </c>
      <c r="C39" s="1">
        <v>139437</v>
      </c>
      <c r="D39" s="1">
        <f>C39-Equation_Sheet!$B$2</f>
        <v>38112</v>
      </c>
      <c r="H39">
        <f t="shared" si="0"/>
        <v>0.99417206346513831</v>
      </c>
      <c r="I39" s="1">
        <f t="shared" si="1"/>
        <v>1.0057526367792633</v>
      </c>
      <c r="Y39">
        <v>-0.25619999999999998</v>
      </c>
    </row>
    <row r="40" spans="1:25" x14ac:dyDescent="0.3">
      <c r="A40">
        <v>2</v>
      </c>
      <c r="B40" s="1">
        <v>0.12378400000000001</v>
      </c>
      <c r="C40" s="1">
        <v>100046</v>
      </c>
      <c r="D40" s="1">
        <f>C40-Equation_Sheet!$B$2</f>
        <v>-1279</v>
      </c>
      <c r="H40">
        <f t="shared" si="0"/>
        <v>1</v>
      </c>
      <c r="I40" s="1">
        <f t="shared" si="1"/>
        <v>-3.3752036692922899E-2</v>
      </c>
      <c r="Y40">
        <v>-0.45322499999999999</v>
      </c>
    </row>
    <row r="41" spans="1:25" x14ac:dyDescent="0.3">
      <c r="I41" s="1">
        <f t="shared" si="1"/>
        <v>0</v>
      </c>
      <c r="Y41">
        <v>-0.56723000000000001</v>
      </c>
    </row>
    <row r="42" spans="1:25" x14ac:dyDescent="0.3">
      <c r="A42">
        <v>1</v>
      </c>
      <c r="B42" s="1">
        <v>-4.1283E-2</v>
      </c>
      <c r="C42" s="1">
        <v>136235</v>
      </c>
      <c r="D42" s="1">
        <f>C42-Equation_Sheet!$B$2</f>
        <v>34910</v>
      </c>
      <c r="H42">
        <f t="shared" si="0"/>
        <v>0</v>
      </c>
      <c r="I42" s="1">
        <f t="shared" si="1"/>
        <v>0.92125379276773922</v>
      </c>
      <c r="Y42">
        <v>-0.565801</v>
      </c>
    </row>
    <row r="43" spans="1:25" x14ac:dyDescent="0.3">
      <c r="A43">
        <v>1</v>
      </c>
      <c r="B43" s="1">
        <v>-4.1261199999999998E-2</v>
      </c>
      <c r="C43" s="1">
        <v>124459</v>
      </c>
      <c r="D43" s="1">
        <f>C43-Equation_Sheet!$B$2</f>
        <v>23134</v>
      </c>
      <c r="H43">
        <f t="shared" si="0"/>
        <v>1.3206758467775129E-4</v>
      </c>
      <c r="I43" s="1">
        <f t="shared" si="1"/>
        <v>0.61049227275533891</v>
      </c>
      <c r="Y43">
        <v>-0.57844899999999999</v>
      </c>
    </row>
    <row r="44" spans="1:25" x14ac:dyDescent="0.3">
      <c r="A44">
        <v>1</v>
      </c>
      <c r="B44" s="1">
        <v>-4.1144699999999999E-2</v>
      </c>
      <c r="C44" s="1">
        <v>127536</v>
      </c>
      <c r="D44" s="1">
        <f>C44-Equation_Sheet!$B$2</f>
        <v>26211</v>
      </c>
      <c r="H44">
        <f t="shared" si="0"/>
        <v>8.3784160371243744E-4</v>
      </c>
      <c r="I44" s="1">
        <f t="shared" si="1"/>
        <v>0.69169244234417682</v>
      </c>
      <c r="Y44">
        <v>-0.578376</v>
      </c>
    </row>
    <row r="45" spans="1:25" x14ac:dyDescent="0.3">
      <c r="A45">
        <v>1</v>
      </c>
      <c r="B45" s="1">
        <v>-4.0884499999999997E-2</v>
      </c>
      <c r="C45" s="1">
        <v>119992</v>
      </c>
      <c r="D45" s="1">
        <f>C45-Equation_Sheet!$B$2</f>
        <v>18667</v>
      </c>
      <c r="H45">
        <f t="shared" si="0"/>
        <v>2.4141712153247044E-3</v>
      </c>
      <c r="I45" s="1">
        <f t="shared" si="1"/>
        <v>0.49261084358623286</v>
      </c>
      <c r="Y45">
        <v>-0.551728</v>
      </c>
    </row>
    <row r="46" spans="1:25" x14ac:dyDescent="0.3">
      <c r="A46">
        <v>1</v>
      </c>
      <c r="B46" s="1">
        <v>-4.0419900000000002E-2</v>
      </c>
      <c r="C46" s="1">
        <v>124387</v>
      </c>
      <c r="D46" s="1">
        <f>C46-Equation_Sheet!$B$2</f>
        <v>23062</v>
      </c>
      <c r="H46">
        <f t="shared" si="0"/>
        <v>5.2287858869428687E-3</v>
      </c>
      <c r="I46" s="1">
        <f t="shared" si="1"/>
        <v>0.60859223628787174</v>
      </c>
      <c r="Y46">
        <v>-0.54086199999999995</v>
      </c>
    </row>
    <row r="47" spans="1:25" x14ac:dyDescent="0.3">
      <c r="A47">
        <v>1</v>
      </c>
      <c r="B47" s="1">
        <v>-3.9683499999999997E-2</v>
      </c>
      <c r="C47" s="1">
        <v>120401</v>
      </c>
      <c r="D47" s="1">
        <f>C47-Equation_Sheet!$B$2</f>
        <v>19076</v>
      </c>
      <c r="H47">
        <f t="shared" si="0"/>
        <v>9.6900046647725082E-3</v>
      </c>
      <c r="I47" s="1">
        <f t="shared" si="1"/>
        <v>0.5034041062972614</v>
      </c>
      <c r="Y47">
        <v>-0.48396899999999998</v>
      </c>
    </row>
    <row r="48" spans="1:25" x14ac:dyDescent="0.3">
      <c r="A48">
        <v>1</v>
      </c>
      <c r="B48" s="1">
        <v>-3.86735E-2</v>
      </c>
      <c r="C48" s="1">
        <v>113160</v>
      </c>
      <c r="D48" s="1">
        <f>C48-Equation_Sheet!$B$2</f>
        <v>11835</v>
      </c>
      <c r="H48">
        <f t="shared" si="0"/>
        <v>1.5808732211768557E-2</v>
      </c>
      <c r="I48" s="1">
        <f t="shared" si="1"/>
        <v>0.31231849433990816</v>
      </c>
      <c r="Y48">
        <v>-5.8826299999999998E-2</v>
      </c>
    </row>
    <row r="49" spans="1:25" x14ac:dyDescent="0.3">
      <c r="A49">
        <v>1</v>
      </c>
      <c r="B49" s="1">
        <v>-3.7356300000000002E-2</v>
      </c>
      <c r="C49" s="1">
        <v>106501</v>
      </c>
      <c r="D49" s="1">
        <f>C49-Equation_Sheet!$B$2</f>
        <v>5176</v>
      </c>
      <c r="H49">
        <f t="shared" si="0"/>
        <v>2.3788522236425195E-2</v>
      </c>
      <c r="I49" s="1">
        <f t="shared" si="1"/>
        <v>0.13659151049458088</v>
      </c>
      <c r="Y49">
        <v>-4.0216500000000002E-2</v>
      </c>
    </row>
    <row r="50" spans="1:25" x14ac:dyDescent="0.3">
      <c r="A50">
        <v>1</v>
      </c>
      <c r="B50" s="1">
        <v>-3.5689600000000002E-2</v>
      </c>
      <c r="C50" s="1">
        <v>102814</v>
      </c>
      <c r="D50" s="1">
        <f>C50-Equation_Sheet!$B$2</f>
        <v>1489</v>
      </c>
      <c r="H50">
        <f t="shared" si="0"/>
        <v>3.3885634318185934E-2</v>
      </c>
      <c r="I50" s="1">
        <f t="shared" si="1"/>
        <v>3.9293809723035339E-2</v>
      </c>
      <c r="Y50">
        <v>-7.8885899999999995E-2</v>
      </c>
    </row>
    <row r="51" spans="1:25" x14ac:dyDescent="0.3">
      <c r="A51">
        <v>1</v>
      </c>
      <c r="B51" s="1">
        <v>-3.3623399999999998E-2</v>
      </c>
      <c r="C51" s="1">
        <v>98601.9</v>
      </c>
      <c r="D51" s="1">
        <f>C51-Equation_Sheet!$B$2</f>
        <v>-2723.1000000000058</v>
      </c>
      <c r="H51">
        <f t="shared" si="0"/>
        <v>4.6402975761357518E-2</v>
      </c>
      <c r="I51" s="1">
        <f t="shared" si="1"/>
        <v>-7.1860962563329592E-2</v>
      </c>
      <c r="Y51">
        <v>-0.101385</v>
      </c>
    </row>
    <row r="52" spans="1:25" x14ac:dyDescent="0.3">
      <c r="A52">
        <v>1</v>
      </c>
      <c r="B52" s="1">
        <v>-3.1100800000000001E-2</v>
      </c>
      <c r="C52" s="1">
        <v>95414.399999999994</v>
      </c>
      <c r="D52" s="1">
        <f>C52-Equation_Sheet!$B$2</f>
        <v>-5910.6000000000058</v>
      </c>
      <c r="H52">
        <f t="shared" si="0"/>
        <v>6.1685255078240943E-2</v>
      </c>
      <c r="I52" s="1">
        <f t="shared" si="1"/>
        <v>-0.15597716034182196</v>
      </c>
      <c r="Y52">
        <v>-0.12313499999999999</v>
      </c>
    </row>
    <row r="53" spans="1:25" x14ac:dyDescent="0.3">
      <c r="A53">
        <v>1</v>
      </c>
      <c r="B53" s="1">
        <v>-2.8060600000000002E-2</v>
      </c>
      <c r="C53" s="1">
        <v>92537.600000000006</v>
      </c>
      <c r="D53" s="1">
        <f>C53-Equation_Sheet!$B$2</f>
        <v>-8787.3999999999942</v>
      </c>
      <c r="H53">
        <f t="shared" si="0"/>
        <v>8.0103230809307716E-2</v>
      </c>
      <c r="I53" s="1">
        <f t="shared" si="1"/>
        <v>-0.23189417297528578</v>
      </c>
      <c r="Y53">
        <v>0.42275099999999999</v>
      </c>
    </row>
    <row r="54" spans="1:25" x14ac:dyDescent="0.3">
      <c r="A54">
        <v>1</v>
      </c>
      <c r="B54" s="1">
        <v>-2.44406E-2</v>
      </c>
      <c r="C54" s="1">
        <v>92544.4</v>
      </c>
      <c r="D54" s="1">
        <f>C54-Equation_Sheet!$B$2</f>
        <v>-8780.6000000000058</v>
      </c>
      <c r="H54">
        <f t="shared" si="0"/>
        <v>0.10203371964111542</v>
      </c>
      <c r="I54" s="1">
        <f t="shared" si="1"/>
        <v>-0.23171472508669197</v>
      </c>
      <c r="Y54">
        <v>0.34967999999999999</v>
      </c>
    </row>
    <row r="55" spans="1:25" x14ac:dyDescent="0.3">
      <c r="A55">
        <v>1</v>
      </c>
      <c r="B55" s="1">
        <v>-2.0181899999999999E-2</v>
      </c>
      <c r="C55" s="1">
        <v>91214.2</v>
      </c>
      <c r="D55" s="1">
        <f>C55-Equation_Sheet!$B$2</f>
        <v>-10110.800000000003</v>
      </c>
      <c r="H55">
        <f t="shared" si="0"/>
        <v>0.12783354637813735</v>
      </c>
      <c r="I55" s="1">
        <f t="shared" si="1"/>
        <v>-0.26681789882314699</v>
      </c>
      <c r="Y55">
        <v>0.58651299999999995</v>
      </c>
    </row>
    <row r="56" spans="1:25" x14ac:dyDescent="0.3">
      <c r="A56">
        <v>1</v>
      </c>
      <c r="B56" s="1">
        <v>-1.52348E-2</v>
      </c>
      <c r="C56" s="1">
        <v>89643.9</v>
      </c>
      <c r="D56" s="1">
        <f>C56-Equation_Sheet!$B$2</f>
        <v>-11681.100000000006</v>
      </c>
      <c r="H56">
        <f t="shared" si="0"/>
        <v>0.15780380088085444</v>
      </c>
      <c r="I56" s="1">
        <f t="shared" si="1"/>
        <v>-0.30825716639069733</v>
      </c>
      <c r="Y56">
        <v>0.538964</v>
      </c>
    </row>
    <row r="57" spans="1:25" x14ac:dyDescent="0.3">
      <c r="A57">
        <v>1</v>
      </c>
      <c r="B57" s="1">
        <v>-9.5662899999999999E-3</v>
      </c>
      <c r="C57" s="1">
        <v>89785.9</v>
      </c>
      <c r="D57" s="1">
        <f>C57-Equation_Sheet!$B$2</f>
        <v>-11539.100000000006</v>
      </c>
      <c r="H57">
        <f t="shared" si="0"/>
        <v>0.19214446255156997</v>
      </c>
      <c r="I57" s="1">
        <f t="shared" si="1"/>
        <v>-0.30450987224652609</v>
      </c>
      <c r="Y57">
        <v>0.34218700000000002</v>
      </c>
    </row>
    <row r="58" spans="1:25" x14ac:dyDescent="0.3">
      <c r="A58">
        <v>1</v>
      </c>
      <c r="B58" s="1">
        <v>-3.1673000000000001E-3</v>
      </c>
      <c r="C58" s="1">
        <v>89564.1</v>
      </c>
      <c r="D58" s="1">
        <f>C58-Equation_Sheet!$B$2</f>
        <v>-11760.899999999994</v>
      </c>
      <c r="H58">
        <f t="shared" si="0"/>
        <v>0.23091047877528517</v>
      </c>
      <c r="I58" s="1">
        <f t="shared" si="1"/>
        <v>-0.31036304014213978</v>
      </c>
      <c r="Y58">
        <v>0.25939299999999998</v>
      </c>
    </row>
    <row r="59" spans="1:25" x14ac:dyDescent="0.3">
      <c r="A59">
        <v>1</v>
      </c>
      <c r="B59" s="1">
        <v>3.9396300000000004E-3</v>
      </c>
      <c r="C59" s="1">
        <v>89652.6</v>
      </c>
      <c r="D59" s="1">
        <f>C59-Equation_Sheet!$B$2</f>
        <v>-11672.399999999994</v>
      </c>
      <c r="H59">
        <f t="shared" si="0"/>
        <v>0.27396529893921856</v>
      </c>
      <c r="I59" s="1">
        <f t="shared" si="1"/>
        <v>-0.3080275786508781</v>
      </c>
      <c r="Y59">
        <v>6.8406800000000004E-2</v>
      </c>
    </row>
    <row r="60" spans="1:25" x14ac:dyDescent="0.3">
      <c r="A60">
        <v>1</v>
      </c>
      <c r="B60" s="1">
        <v>1.1694700000000001E-2</v>
      </c>
      <c r="C60" s="1">
        <v>90440.5</v>
      </c>
      <c r="D60" s="1">
        <f>C60-Equation_Sheet!$B$2</f>
        <v>-10884.5</v>
      </c>
      <c r="H60">
        <f t="shared" si="0"/>
        <v>0.32094664590741939</v>
      </c>
      <c r="I60" s="1">
        <f t="shared" si="1"/>
        <v>-0.28723537402980398</v>
      </c>
      <c r="Y60">
        <v>-0.12099500000000001</v>
      </c>
    </row>
    <row r="61" spans="1:25" x14ac:dyDescent="0.3">
      <c r="A61">
        <v>1</v>
      </c>
      <c r="B61" s="1">
        <v>1.9998499999999999E-2</v>
      </c>
      <c r="C61" s="1">
        <v>91306.6</v>
      </c>
      <c r="D61" s="1">
        <f>C61-Equation_Sheet!$B$2</f>
        <v>-10018.399999999994</v>
      </c>
      <c r="H61">
        <f t="shared" si="0"/>
        <v>0.37125227937746486</v>
      </c>
      <c r="I61" s="1">
        <f t="shared" si="1"/>
        <v>-0.26437951868989729</v>
      </c>
      <c r="Y61">
        <v>-1.2525100000000001E-2</v>
      </c>
    </row>
    <row r="62" spans="1:25" x14ac:dyDescent="0.3">
      <c r="A62">
        <v>1</v>
      </c>
      <c r="B62" s="1">
        <v>2.8714E-2</v>
      </c>
      <c r="C62" s="1">
        <v>92464</v>
      </c>
      <c r="D62" s="1">
        <f>C62-Equation_Sheet!$B$2</f>
        <v>-8861</v>
      </c>
      <c r="H62">
        <f t="shared" si="0"/>
        <v>0.42405205159117204</v>
      </c>
      <c r="I62" s="1">
        <f t="shared" si="1"/>
        <v>-0.23383643247536343</v>
      </c>
      <c r="Y62">
        <v>-3.3487500000000003E-2</v>
      </c>
    </row>
    <row r="63" spans="1:25" x14ac:dyDescent="0.3">
      <c r="A63">
        <v>1</v>
      </c>
      <c r="B63" s="1">
        <v>3.76738E-2</v>
      </c>
      <c r="C63" s="1">
        <v>93462.2</v>
      </c>
      <c r="D63" s="1">
        <f>C63-Equation_Sheet!$B$2</f>
        <v>-7862.8000000000029</v>
      </c>
      <c r="H63">
        <f t="shared" si="0"/>
        <v>0.47833182889372183</v>
      </c>
      <c r="I63" s="1">
        <f t="shared" si="1"/>
        <v>-0.20749453800556239</v>
      </c>
      <c r="Y63">
        <v>-1.8118599999999999E-2</v>
      </c>
    </row>
    <row r="64" spans="1:25" x14ac:dyDescent="0.3">
      <c r="A64">
        <v>1</v>
      </c>
      <c r="B64" s="1">
        <v>4.6691799999999999E-2</v>
      </c>
      <c r="C64" s="1">
        <v>94607.7</v>
      </c>
      <c r="D64" s="1">
        <f>C64-Equation_Sheet!$B$2</f>
        <v>-6717.3000000000029</v>
      </c>
      <c r="H64">
        <f t="shared" si="0"/>
        <v>0.53296419029848474</v>
      </c>
      <c r="I64" s="1">
        <f t="shared" si="1"/>
        <v>-0.17726548559606811</v>
      </c>
      <c r="Y64">
        <v>1.1173199999999999E-2</v>
      </c>
    </row>
    <row r="65" spans="1:25" x14ac:dyDescent="0.3">
      <c r="A65">
        <v>1</v>
      </c>
      <c r="B65" s="1">
        <v>5.5578200000000001E-2</v>
      </c>
      <c r="C65" s="1">
        <v>95794.2</v>
      </c>
      <c r="D65" s="1">
        <f>C65-Equation_Sheet!$B$2</f>
        <v>-5530.8000000000029</v>
      </c>
      <c r="H65">
        <f t="shared" si="0"/>
        <v>0.58679929967831246</v>
      </c>
      <c r="I65" s="1">
        <f t="shared" si="1"/>
        <v>-0.14595446797593284</v>
      </c>
      <c r="Y65">
        <v>0.12449</v>
      </c>
    </row>
    <row r="66" spans="1:25" x14ac:dyDescent="0.3">
      <c r="A66">
        <v>1</v>
      </c>
      <c r="B66" s="1">
        <v>6.4154799999999998E-2</v>
      </c>
      <c r="C66" s="1">
        <v>97021.6</v>
      </c>
      <c r="D66" s="1">
        <f>C66-Equation_Sheet!$B$2</f>
        <v>-4303.3999999999942</v>
      </c>
      <c r="H66">
        <f t="shared" si="0"/>
        <v>0.63875759540065535</v>
      </c>
      <c r="I66" s="1">
        <f t="shared" si="1"/>
        <v>-0.11356412408469446</v>
      </c>
      <c r="Y66">
        <v>0.30741299999999999</v>
      </c>
    </row>
    <row r="67" spans="1:25" x14ac:dyDescent="0.3">
      <c r="A67">
        <v>1</v>
      </c>
      <c r="B67" s="1">
        <v>7.2268399999999997E-2</v>
      </c>
      <c r="C67" s="1">
        <v>98115.9</v>
      </c>
      <c r="D67" s="1">
        <f>C67-Equation_Sheet!$B$2</f>
        <v>-3209.1000000000058</v>
      </c>
      <c r="H67">
        <f t="shared" ref="H67:H80" si="2">(B67-$E$2)/$F$2</f>
        <v>0.6879109694851181</v>
      </c>
      <c r="I67" s="1">
        <f t="shared" ref="I67:I80" si="3">D67/$T$2</f>
        <v>-8.468620871873267E-2</v>
      </c>
      <c r="Y67">
        <v>-0.21665499999999999</v>
      </c>
    </row>
    <row r="68" spans="1:25" x14ac:dyDescent="0.3">
      <c r="A68">
        <v>1</v>
      </c>
      <c r="B68" s="1">
        <v>7.9800399999999994E-2</v>
      </c>
      <c r="C68" s="1">
        <v>99131.1</v>
      </c>
      <c r="D68" s="1">
        <f>C68-Equation_Sheet!$B$2</f>
        <v>-2193.8999999999942</v>
      </c>
      <c r="H68">
        <f t="shared" si="2"/>
        <v>0.73354092580588481</v>
      </c>
      <c r="I68" s="1">
        <f t="shared" si="3"/>
        <v>-5.7895694527445939E-2</v>
      </c>
      <c r="Y68">
        <v>-0.25590000000000002</v>
      </c>
    </row>
    <row r="69" spans="1:25" x14ac:dyDescent="0.3">
      <c r="A69">
        <v>1</v>
      </c>
      <c r="B69" s="1">
        <v>8.6670899999999995E-2</v>
      </c>
      <c r="C69" s="1">
        <v>100337</v>
      </c>
      <c r="D69" s="1">
        <f>C69-Equation_Sheet!$B$2</f>
        <v>-988</v>
      </c>
      <c r="H69">
        <f t="shared" si="2"/>
        <v>0.77516341849067349</v>
      </c>
      <c r="I69" s="1">
        <f t="shared" si="3"/>
        <v>-2.6072722636909951E-2</v>
      </c>
      <c r="Y69">
        <v>-0.180814</v>
      </c>
    </row>
    <row r="70" spans="1:25" x14ac:dyDescent="0.3">
      <c r="A70">
        <v>1</v>
      </c>
      <c r="B70" s="1">
        <v>9.2838599999999993E-2</v>
      </c>
      <c r="C70" s="1">
        <v>101398</v>
      </c>
      <c r="D70" s="1">
        <f>C70-Equation_Sheet!$B$2</f>
        <v>73</v>
      </c>
      <c r="H70">
        <f t="shared" si="2"/>
        <v>0.81252824610612651</v>
      </c>
      <c r="I70" s="1">
        <f t="shared" si="3"/>
        <v>1.9264258628486097E-3</v>
      </c>
      <c r="Y70">
        <v>-0.14791099999999999</v>
      </c>
    </row>
    <row r="71" spans="1:25" x14ac:dyDescent="0.3">
      <c r="A71">
        <v>1</v>
      </c>
      <c r="B71" s="1">
        <v>9.8296599999999998E-2</v>
      </c>
      <c r="C71" s="1">
        <v>102333</v>
      </c>
      <c r="D71" s="1">
        <f>C71-Equation_Sheet!$B$2</f>
        <v>1008</v>
      </c>
      <c r="H71">
        <f t="shared" si="2"/>
        <v>0.84559360744424983</v>
      </c>
      <c r="I71" s="1">
        <f t="shared" si="3"/>
        <v>2.6600510544539706E-2</v>
      </c>
      <c r="Y71">
        <v>-0.116998</v>
      </c>
    </row>
    <row r="72" spans="1:25" x14ac:dyDescent="0.3">
      <c r="A72">
        <v>1</v>
      </c>
      <c r="B72" s="1">
        <v>0.103065</v>
      </c>
      <c r="C72" s="1">
        <v>104167</v>
      </c>
      <c r="D72" s="1">
        <f>C72-Equation_Sheet!$B$2</f>
        <v>2842</v>
      </c>
      <c r="H72">
        <f t="shared" si="2"/>
        <v>0.87448127124137465</v>
      </c>
      <c r="I72" s="1">
        <f t="shared" si="3"/>
        <v>7.4998661674188338E-2</v>
      </c>
      <c r="Y72">
        <v>-9.2212699999999995E-2</v>
      </c>
    </row>
    <row r="73" spans="1:25" x14ac:dyDescent="0.3">
      <c r="A73">
        <v>1</v>
      </c>
      <c r="B73" s="1">
        <v>0.107186</v>
      </c>
      <c r="C73" s="1">
        <v>104639</v>
      </c>
      <c r="D73" s="1">
        <f>C73-Equation_Sheet!$B$2</f>
        <v>3314</v>
      </c>
      <c r="H73">
        <f t="shared" si="2"/>
        <v>0.8994468912623359</v>
      </c>
      <c r="I73" s="1">
        <f t="shared" si="3"/>
        <v>8.7454456294250582E-2</v>
      </c>
      <c r="Y73">
        <v>-6.0826999999999999E-2</v>
      </c>
    </row>
    <row r="74" spans="1:25" x14ac:dyDescent="0.3">
      <c r="A74">
        <v>1</v>
      </c>
      <c r="B74" s="1">
        <v>0.11071300000000001</v>
      </c>
      <c r="C74" s="1">
        <v>107355</v>
      </c>
      <c r="D74" s="1">
        <f>C74-Equation_Sheet!$B$2</f>
        <v>6030</v>
      </c>
      <c r="H74">
        <f t="shared" si="2"/>
        <v>0.92081397250813313</v>
      </c>
      <c r="I74" s="1">
        <f t="shared" si="3"/>
        <v>0.15912805415037146</v>
      </c>
      <c r="Y74">
        <v>-0.43610399999999999</v>
      </c>
    </row>
    <row r="75" spans="1:25" x14ac:dyDescent="0.3">
      <c r="A75">
        <v>1</v>
      </c>
      <c r="B75" s="1">
        <v>0.113707</v>
      </c>
      <c r="C75" s="1">
        <v>108720</v>
      </c>
      <c r="D75" s="1">
        <f>C75-Equation_Sheet!$B$2</f>
        <v>7395</v>
      </c>
      <c r="H75">
        <f t="shared" si="2"/>
        <v>0.93895206189002045</v>
      </c>
      <c r="I75" s="1">
        <f t="shared" si="3"/>
        <v>0.19514957884610232</v>
      </c>
      <c r="Y75">
        <v>-0.38304899999999997</v>
      </c>
    </row>
    <row r="76" spans="1:25" x14ac:dyDescent="0.3">
      <c r="A76">
        <v>1</v>
      </c>
      <c r="B76" s="1">
        <v>0.11623</v>
      </c>
      <c r="C76" s="1">
        <v>108261</v>
      </c>
      <c r="D76" s="1">
        <f>C76-Equation_Sheet!$B$2</f>
        <v>6936</v>
      </c>
      <c r="H76">
        <f t="shared" si="2"/>
        <v>0.95423676446533834</v>
      </c>
      <c r="I76" s="1">
        <f t="shared" si="3"/>
        <v>0.1830368463659994</v>
      </c>
      <c r="Y76">
        <v>-0.34034500000000001</v>
      </c>
    </row>
    <row r="77" spans="1:25" x14ac:dyDescent="0.3">
      <c r="A77">
        <v>1</v>
      </c>
      <c r="B77" s="1">
        <v>0.118344</v>
      </c>
      <c r="C77" s="1">
        <v>118786</v>
      </c>
      <c r="D77" s="1">
        <f>C77-Equation_Sheet!$B$2</f>
        <v>17461</v>
      </c>
      <c r="H77">
        <f t="shared" si="2"/>
        <v>0.96704368529142715</v>
      </c>
      <c r="I77" s="1">
        <f t="shared" si="3"/>
        <v>0.46078523275615857</v>
      </c>
      <c r="Y77">
        <v>-0.29626400000000003</v>
      </c>
    </row>
    <row r="78" spans="1:25" x14ac:dyDescent="0.3">
      <c r="A78">
        <v>1</v>
      </c>
      <c r="B78" s="1">
        <v>0.12010800000000001</v>
      </c>
      <c r="C78" s="1">
        <v>110842</v>
      </c>
      <c r="D78" s="1">
        <f>C78-Equation_Sheet!$B$2</f>
        <v>9517</v>
      </c>
      <c r="H78">
        <f t="shared" si="2"/>
        <v>0.97773025498736865</v>
      </c>
      <c r="I78" s="1">
        <f t="shared" si="3"/>
        <v>0.25114787584561943</v>
      </c>
      <c r="Y78">
        <v>9.4879199999999997E-2</v>
      </c>
    </row>
    <row r="79" spans="1:25" x14ac:dyDescent="0.3">
      <c r="A79">
        <v>1</v>
      </c>
      <c r="B79" s="1">
        <v>0.121572</v>
      </c>
      <c r="C79" s="1">
        <v>124188</v>
      </c>
      <c r="D79" s="1">
        <f>C79-Equation_Sheet!$B$2</f>
        <v>22863</v>
      </c>
      <c r="H79">
        <f t="shared" si="2"/>
        <v>0.9865993808574699</v>
      </c>
      <c r="I79" s="1">
        <f t="shared" si="3"/>
        <v>0.60334074660695569</v>
      </c>
      <c r="Y79">
        <v>0.216942</v>
      </c>
    </row>
    <row r="80" spans="1:25" x14ac:dyDescent="0.3">
      <c r="A80">
        <v>1</v>
      </c>
      <c r="B80" s="1">
        <v>0.122784</v>
      </c>
      <c r="C80" s="1">
        <v>140436</v>
      </c>
      <c r="D80" s="1">
        <f>C80-Equation_Sheet!$B$2</f>
        <v>39111</v>
      </c>
      <c r="H80">
        <f t="shared" si="2"/>
        <v>0.99394185391386525</v>
      </c>
      <c r="I80" s="1">
        <f t="shared" si="3"/>
        <v>1.0321156427653695</v>
      </c>
    </row>
  </sheetData>
  <sortState xmlns:xlrd2="http://schemas.microsoft.com/office/spreadsheetml/2017/richdata2" ref="A2:C80">
    <sortCondition descending="1" ref="A1:A80"/>
  </sortState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FC08C-535E-4DD9-8BCD-9DDB0D1AE2F9}">
  <dimension ref="A1:Y80"/>
  <sheetViews>
    <sheetView workbookViewId="0"/>
  </sheetViews>
  <sheetFormatPr defaultRowHeight="16.5" x14ac:dyDescent="0.3"/>
  <cols>
    <col min="2" max="3" width="9" style="1"/>
  </cols>
  <sheetData>
    <row r="1" spans="1:25" x14ac:dyDescent="0.3">
      <c r="B1" s="1" t="s">
        <v>0</v>
      </c>
      <c r="C1" s="1" t="s">
        <v>1</v>
      </c>
      <c r="R1" s="2" t="s">
        <v>8</v>
      </c>
      <c r="S1" t="s">
        <v>9</v>
      </c>
      <c r="T1" t="s">
        <v>7</v>
      </c>
      <c r="Y1" t="s">
        <v>15</v>
      </c>
    </row>
    <row r="2" spans="1:25" x14ac:dyDescent="0.3">
      <c r="A2">
        <v>1</v>
      </c>
      <c r="B2" s="1">
        <v>-4.1283E-2</v>
      </c>
      <c r="C2" s="1">
        <v>129790</v>
      </c>
      <c r="D2">
        <f>C2-Equation_Sheet!$B$2</f>
        <v>28465</v>
      </c>
      <c r="E2">
        <f>MIN(B:B)</f>
        <v>-4.1283E-2</v>
      </c>
      <c r="F2">
        <f>E3-E2</f>
        <v>0.16506700000000002</v>
      </c>
      <c r="H2">
        <f>(B2-$E$2)/$F$2</f>
        <v>0</v>
      </c>
      <c r="I2" s="1">
        <f>D2/$T$2</f>
        <v>0.6267887027824337</v>
      </c>
      <c r="R2">
        <v>1.04</v>
      </c>
      <c r="S2">
        <f>R2*Equation_Sheet!$D$2</f>
        <v>272.27136331111541</v>
      </c>
      <c r="T2">
        <f>(Equation_Sheet!$E$2*'0.89'!S2^2)/2</f>
        <v>45414.028481429988</v>
      </c>
      <c r="Y2">
        <v>0.74553100000000005</v>
      </c>
    </row>
    <row r="3" spans="1:25" x14ac:dyDescent="0.3">
      <c r="A3">
        <v>1</v>
      </c>
      <c r="B3" s="1">
        <v>-4.1261199999999998E-2</v>
      </c>
      <c r="C3" s="1">
        <v>134375</v>
      </c>
      <c r="D3">
        <f>C3-Equation_Sheet!$B$2</f>
        <v>33050</v>
      </c>
      <c r="E3">
        <f>MAX(B:B)</f>
        <v>0.12378400000000001</v>
      </c>
      <c r="H3">
        <f t="shared" ref="H3:H66" si="0">(B3-$E$2)/$F$2</f>
        <v>1.3206758467775129E-4</v>
      </c>
      <c r="I3" s="1">
        <f t="shared" ref="I3:I66" si="1">D3/$T$2</f>
        <v>0.72774869583556767</v>
      </c>
      <c r="Y3">
        <v>-1.9779700000000001E-2</v>
      </c>
    </row>
    <row r="4" spans="1:25" x14ac:dyDescent="0.3">
      <c r="A4">
        <v>1</v>
      </c>
      <c r="B4" s="1">
        <v>-4.1144699999999999E-2</v>
      </c>
      <c r="C4" s="1">
        <v>126019</v>
      </c>
      <c r="D4">
        <f>C4-Equation_Sheet!$B$2</f>
        <v>24694</v>
      </c>
      <c r="E4" s="1"/>
      <c r="H4">
        <f t="shared" si="0"/>
        <v>8.3784160371243744E-4</v>
      </c>
      <c r="I4" s="1">
        <f t="shared" si="1"/>
        <v>0.54375268668573395</v>
      </c>
      <c r="Y4">
        <v>0.46332400000000001</v>
      </c>
    </row>
    <row r="5" spans="1:25" x14ac:dyDescent="0.3">
      <c r="A5">
        <v>1</v>
      </c>
      <c r="B5" s="1">
        <v>-4.0884499999999997E-2</v>
      </c>
      <c r="C5" s="1">
        <v>130247</v>
      </c>
      <c r="D5">
        <f>C5-Equation_Sheet!$B$2</f>
        <v>28922</v>
      </c>
      <c r="H5">
        <f t="shared" si="0"/>
        <v>2.4141712153247044E-3</v>
      </c>
      <c r="I5" s="1">
        <f t="shared" si="1"/>
        <v>0.63685167264618114</v>
      </c>
      <c r="Y5">
        <v>0.144118</v>
      </c>
    </row>
    <row r="6" spans="1:25" x14ac:dyDescent="0.3">
      <c r="A6">
        <v>1</v>
      </c>
      <c r="B6" s="1">
        <v>-4.0419900000000002E-2</v>
      </c>
      <c r="C6" s="1">
        <v>132515</v>
      </c>
      <c r="D6">
        <f>C6-Equation_Sheet!$B$2</f>
        <v>31190</v>
      </c>
      <c r="H6">
        <f t="shared" si="0"/>
        <v>5.2287858869428687E-3</v>
      </c>
      <c r="I6" s="1">
        <f t="shared" si="1"/>
        <v>0.68679218829383826</v>
      </c>
      <c r="Y6">
        <v>0.30087000000000003</v>
      </c>
    </row>
    <row r="7" spans="1:25" x14ac:dyDescent="0.3">
      <c r="A7">
        <v>1</v>
      </c>
      <c r="B7" s="1">
        <v>-3.9683499999999997E-2</v>
      </c>
      <c r="C7" s="1">
        <v>126806</v>
      </c>
      <c r="D7">
        <f>C7-Equation_Sheet!$B$2</f>
        <v>25481</v>
      </c>
      <c r="H7">
        <f t="shared" si="0"/>
        <v>9.6900046647725082E-3</v>
      </c>
      <c r="I7" s="1">
        <f t="shared" si="1"/>
        <v>0.56108213369398185</v>
      </c>
      <c r="Y7">
        <v>0.12768599999999999</v>
      </c>
    </row>
    <row r="8" spans="1:25" x14ac:dyDescent="0.3">
      <c r="A8">
        <v>1</v>
      </c>
      <c r="B8" s="1">
        <v>-3.86735E-2</v>
      </c>
      <c r="C8" s="1">
        <v>119212</v>
      </c>
      <c r="D8">
        <f>C8-Equation_Sheet!$B$2</f>
        <v>17887</v>
      </c>
      <c r="H8">
        <f t="shared" si="0"/>
        <v>1.5808732211768557E-2</v>
      </c>
      <c r="I8" s="1">
        <f t="shared" si="1"/>
        <v>0.39386508085963085</v>
      </c>
      <c r="Y8">
        <v>0.107225</v>
      </c>
    </row>
    <row r="9" spans="1:25" x14ac:dyDescent="0.3">
      <c r="A9">
        <v>1</v>
      </c>
      <c r="B9" s="1">
        <v>-3.7356300000000002E-2</v>
      </c>
      <c r="C9" s="1">
        <v>113474</v>
      </c>
      <c r="D9">
        <f>C9-Equation_Sheet!$B$2</f>
        <v>12149</v>
      </c>
      <c r="H9">
        <f t="shared" si="0"/>
        <v>2.3788522236425195E-2</v>
      </c>
      <c r="I9" s="1">
        <f t="shared" si="1"/>
        <v>0.26751645705616678</v>
      </c>
      <c r="Y9">
        <v>0.114426</v>
      </c>
    </row>
    <row r="10" spans="1:25" x14ac:dyDescent="0.3">
      <c r="A10">
        <v>1</v>
      </c>
      <c r="B10" s="1">
        <v>-3.5689600000000002E-2</v>
      </c>
      <c r="C10" s="1">
        <v>102143</v>
      </c>
      <c r="D10">
        <f>C10-Equation_Sheet!$B$2</f>
        <v>818</v>
      </c>
      <c r="H10">
        <f t="shared" si="0"/>
        <v>3.3885634318185934E-2</v>
      </c>
      <c r="I10" s="1">
        <f t="shared" si="1"/>
        <v>1.8012055467276682E-2</v>
      </c>
      <c r="Y10">
        <v>7.3241200000000006E-2</v>
      </c>
    </row>
    <row r="11" spans="1:25" x14ac:dyDescent="0.3">
      <c r="A11">
        <v>1</v>
      </c>
      <c r="B11" s="1">
        <v>-3.3623399999999998E-2</v>
      </c>
      <c r="C11" s="1">
        <v>102484</v>
      </c>
      <c r="D11">
        <f>C11-Equation_Sheet!$B$2</f>
        <v>1159</v>
      </c>
      <c r="H11">
        <f t="shared" si="0"/>
        <v>4.6402975761357518E-2</v>
      </c>
      <c r="I11" s="1">
        <f t="shared" si="1"/>
        <v>2.5520748516593736E-2</v>
      </c>
      <c r="Y11">
        <v>6.1441299999999997E-2</v>
      </c>
    </row>
    <row r="12" spans="1:25" x14ac:dyDescent="0.3">
      <c r="A12">
        <v>1</v>
      </c>
      <c r="B12" s="1">
        <v>-3.1100800000000001E-2</v>
      </c>
      <c r="C12" s="1">
        <v>95926.5</v>
      </c>
      <c r="D12">
        <f>C12-Equation_Sheet!$B$2</f>
        <v>-5398.5</v>
      </c>
      <c r="H12">
        <f t="shared" si="0"/>
        <v>6.1685255078240943E-2</v>
      </c>
      <c r="I12" s="1">
        <f t="shared" si="1"/>
        <v>-0.11887296019571292</v>
      </c>
      <c r="Y12">
        <v>1.8731600000000001E-2</v>
      </c>
    </row>
    <row r="13" spans="1:25" x14ac:dyDescent="0.3">
      <c r="A13">
        <v>1</v>
      </c>
      <c r="B13" s="1">
        <v>-2.8060600000000002E-2</v>
      </c>
      <c r="C13" s="1">
        <v>95665.4</v>
      </c>
      <c r="D13">
        <f>C13-Equation_Sheet!$B$2</f>
        <v>-5659.6000000000058</v>
      </c>
      <c r="H13">
        <f t="shared" si="0"/>
        <v>8.0103230809307716E-2</v>
      </c>
      <c r="I13" s="1">
        <f t="shared" si="1"/>
        <v>-0.12462228499095258</v>
      </c>
      <c r="Y13">
        <v>-2.0839500000000002E-3</v>
      </c>
    </row>
    <row r="14" spans="1:25" x14ac:dyDescent="0.3">
      <c r="A14">
        <v>1</v>
      </c>
      <c r="B14" s="1">
        <v>-2.44406E-2</v>
      </c>
      <c r="C14" s="1">
        <v>91101.4</v>
      </c>
      <c r="D14">
        <f>C14-Equation_Sheet!$B$2</f>
        <v>-10223.600000000006</v>
      </c>
      <c r="H14">
        <f t="shared" si="0"/>
        <v>0.10203371964111542</v>
      </c>
      <c r="I14" s="1">
        <f t="shared" si="1"/>
        <v>-0.22511986586216381</v>
      </c>
      <c r="Y14">
        <v>0.60584800000000005</v>
      </c>
    </row>
    <row r="15" spans="1:25" x14ac:dyDescent="0.3">
      <c r="A15">
        <v>1</v>
      </c>
      <c r="B15" s="1">
        <v>-2.0181899999999999E-2</v>
      </c>
      <c r="C15" s="1">
        <v>89886.7</v>
      </c>
      <c r="D15">
        <f>C15-Equation_Sheet!$B$2</f>
        <v>-11438.300000000003</v>
      </c>
      <c r="H15">
        <f t="shared" si="0"/>
        <v>0.12783354637813735</v>
      </c>
      <c r="I15" s="1">
        <f t="shared" si="1"/>
        <v>-0.2518671076422383</v>
      </c>
      <c r="Y15">
        <v>0.521791</v>
      </c>
    </row>
    <row r="16" spans="1:25" x14ac:dyDescent="0.3">
      <c r="A16">
        <v>1</v>
      </c>
      <c r="B16" s="1">
        <v>-1.52348E-2</v>
      </c>
      <c r="C16" s="1">
        <v>88006.7</v>
      </c>
      <c r="D16">
        <f>C16-Equation_Sheet!$B$2</f>
        <v>-13318.300000000003</v>
      </c>
      <c r="H16">
        <f t="shared" si="0"/>
        <v>0.15780380088085444</v>
      </c>
      <c r="I16" s="1">
        <f t="shared" si="1"/>
        <v>-0.29326400773817984</v>
      </c>
      <c r="Y16">
        <v>0.45267200000000002</v>
      </c>
    </row>
    <row r="17" spans="1:25" x14ac:dyDescent="0.3">
      <c r="A17">
        <v>1</v>
      </c>
      <c r="B17" s="1">
        <v>-9.5662899999999999E-3</v>
      </c>
      <c r="C17" s="1">
        <v>87134.1</v>
      </c>
      <c r="D17">
        <f>C17-Equation_Sheet!$B$2</f>
        <v>-14190.899999999994</v>
      </c>
      <c r="H17">
        <f t="shared" si="0"/>
        <v>0.19214446255156997</v>
      </c>
      <c r="I17" s="1">
        <f t="shared" si="1"/>
        <v>-0.31247833487845544</v>
      </c>
      <c r="Y17">
        <v>0.778613</v>
      </c>
    </row>
    <row r="18" spans="1:25" x14ac:dyDescent="0.3">
      <c r="A18">
        <v>1</v>
      </c>
      <c r="B18" s="1">
        <v>-3.1673000000000001E-3</v>
      </c>
      <c r="C18" s="1">
        <v>86736.2</v>
      </c>
      <c r="D18">
        <f>C18-Equation_Sheet!$B$2</f>
        <v>-14588.800000000003</v>
      </c>
      <c r="H18">
        <f t="shared" si="0"/>
        <v>0.23091047877528517</v>
      </c>
      <c r="I18" s="1">
        <f t="shared" si="1"/>
        <v>-0.32123994474450623</v>
      </c>
      <c r="Y18">
        <v>0.22271199999999999</v>
      </c>
    </row>
    <row r="19" spans="1:25" x14ac:dyDescent="0.3">
      <c r="A19">
        <v>1</v>
      </c>
      <c r="B19" s="1">
        <v>3.9396300000000004E-3</v>
      </c>
      <c r="C19" s="1">
        <v>87115.9</v>
      </c>
      <c r="D19">
        <f>C19-Equation_Sheet!$B$2</f>
        <v>-14209.100000000006</v>
      </c>
      <c r="H19">
        <f t="shared" si="0"/>
        <v>0.27396529893921856</v>
      </c>
      <c r="I19" s="1">
        <f t="shared" si="1"/>
        <v>-0.31287909210278875</v>
      </c>
      <c r="Y19">
        <v>1.49867E-2</v>
      </c>
    </row>
    <row r="20" spans="1:25" x14ac:dyDescent="0.3">
      <c r="A20">
        <v>1</v>
      </c>
      <c r="B20" s="1">
        <v>1.1694700000000001E-2</v>
      </c>
      <c r="C20" s="1">
        <v>87890</v>
      </c>
      <c r="D20">
        <f>C20-Equation_Sheet!$B$2</f>
        <v>-13435</v>
      </c>
      <c r="H20">
        <f t="shared" si="0"/>
        <v>0.32094664590741939</v>
      </c>
      <c r="I20" s="1">
        <f t="shared" si="1"/>
        <v>-0.29583369829200762</v>
      </c>
      <c r="Y20">
        <v>0.327878</v>
      </c>
    </row>
    <row r="21" spans="1:25" x14ac:dyDescent="0.3">
      <c r="A21">
        <v>1</v>
      </c>
      <c r="B21" s="1">
        <v>1.9998499999999999E-2</v>
      </c>
      <c r="C21" s="1">
        <v>89128.3</v>
      </c>
      <c r="D21">
        <f>C21-Equation_Sheet!$B$2</f>
        <v>-12196.699999999997</v>
      </c>
      <c r="H21">
        <f t="shared" si="0"/>
        <v>0.37125227937746486</v>
      </c>
      <c r="I21" s="1">
        <f t="shared" si="1"/>
        <v>-0.26856679329796268</v>
      </c>
      <c r="Y21">
        <v>0.46709899999999999</v>
      </c>
    </row>
    <row r="22" spans="1:25" x14ac:dyDescent="0.3">
      <c r="A22">
        <v>1</v>
      </c>
      <c r="B22" s="1">
        <v>2.8714E-2</v>
      </c>
      <c r="C22" s="1">
        <v>90350.7</v>
      </c>
      <c r="D22">
        <f>C22-Equation_Sheet!$B$2</f>
        <v>-10974.300000000003</v>
      </c>
      <c r="H22">
        <f t="shared" si="0"/>
        <v>0.42405205159117204</v>
      </c>
      <c r="I22" s="1">
        <f t="shared" si="1"/>
        <v>-0.24165000038451656</v>
      </c>
      <c r="Y22">
        <v>0.57175299999999996</v>
      </c>
    </row>
    <row r="23" spans="1:25" x14ac:dyDescent="0.3">
      <c r="A23">
        <v>1</v>
      </c>
      <c r="B23" s="1">
        <v>3.76738E-2</v>
      </c>
      <c r="C23" s="1">
        <v>91867.3</v>
      </c>
      <c r="D23">
        <f>C23-Equation_Sheet!$B$2</f>
        <v>-9457.6999999999971</v>
      </c>
      <c r="H23">
        <f t="shared" si="0"/>
        <v>0.47833182889372183</v>
      </c>
      <c r="I23" s="1">
        <f t="shared" si="1"/>
        <v>-0.20825503299860956</v>
      </c>
      <c r="Y23">
        <v>0.58233599999999996</v>
      </c>
    </row>
    <row r="24" spans="1:25" x14ac:dyDescent="0.3">
      <c r="A24">
        <v>1</v>
      </c>
      <c r="B24" s="1">
        <v>4.6691799999999999E-2</v>
      </c>
      <c r="C24" s="1">
        <v>93202.4</v>
      </c>
      <c r="D24">
        <f>C24-Equation_Sheet!$B$2</f>
        <v>-8122.6000000000058</v>
      </c>
      <c r="H24">
        <f t="shared" si="0"/>
        <v>0.53296419029848474</v>
      </c>
      <c r="I24" s="1">
        <f t="shared" si="1"/>
        <v>-0.17885662804217811</v>
      </c>
      <c r="Y24">
        <v>0.74506600000000001</v>
      </c>
    </row>
    <row r="25" spans="1:25" x14ac:dyDescent="0.3">
      <c r="A25">
        <v>1</v>
      </c>
      <c r="B25" s="1">
        <v>5.5578200000000001E-2</v>
      </c>
      <c r="C25" s="1">
        <v>94580.6</v>
      </c>
      <c r="D25">
        <f>C25-Equation_Sheet!$B$2</f>
        <v>-6744.3999999999942</v>
      </c>
      <c r="H25">
        <f t="shared" si="0"/>
        <v>0.58679929967831246</v>
      </c>
      <c r="I25" s="1">
        <f t="shared" si="1"/>
        <v>-0.14850917713141901</v>
      </c>
      <c r="Y25">
        <v>0.53017000000000003</v>
      </c>
    </row>
    <row r="26" spans="1:25" x14ac:dyDescent="0.3">
      <c r="A26">
        <v>1</v>
      </c>
      <c r="B26" s="1">
        <v>6.4154799999999998E-2</v>
      </c>
      <c r="C26" s="1">
        <v>95994.7</v>
      </c>
      <c r="D26">
        <f>C26-Equation_Sheet!$B$2</f>
        <v>-5330.3000000000029</v>
      </c>
      <c r="H26">
        <f t="shared" si="0"/>
        <v>0.63875759540065535</v>
      </c>
      <c r="I26" s="1">
        <f t="shared" si="1"/>
        <v>-0.11737122158584957</v>
      </c>
      <c r="Y26">
        <v>0.14269299999999999</v>
      </c>
    </row>
    <row r="27" spans="1:25" x14ac:dyDescent="0.3">
      <c r="A27">
        <v>1</v>
      </c>
      <c r="B27" s="1">
        <v>7.2268399999999997E-2</v>
      </c>
      <c r="C27" s="1">
        <v>97313.1</v>
      </c>
      <c r="D27">
        <f>C27-Equation_Sheet!$B$2</f>
        <v>-4011.8999999999942</v>
      </c>
      <c r="H27">
        <f t="shared" si="0"/>
        <v>0.6879109694851181</v>
      </c>
      <c r="I27" s="1">
        <f t="shared" si="1"/>
        <v>-8.8340544412184863E-2</v>
      </c>
      <c r="Y27">
        <v>0.17196500000000001</v>
      </c>
    </row>
    <row r="28" spans="1:25" x14ac:dyDescent="0.3">
      <c r="A28">
        <v>1</v>
      </c>
      <c r="B28" s="1">
        <v>7.9800399999999994E-2</v>
      </c>
      <c r="C28" s="1">
        <v>98597.4</v>
      </c>
      <c r="D28">
        <f>C28-Equation_Sheet!$B$2</f>
        <v>-2727.6000000000058</v>
      </c>
      <c r="H28">
        <f t="shared" si="0"/>
        <v>0.73354092580588481</v>
      </c>
      <c r="I28" s="1">
        <f t="shared" si="1"/>
        <v>-6.0060736543452301E-2</v>
      </c>
      <c r="Y28">
        <v>-2.9551299999999999E-2</v>
      </c>
    </row>
    <row r="29" spans="1:25" x14ac:dyDescent="0.3">
      <c r="A29">
        <v>1</v>
      </c>
      <c r="B29" s="1">
        <v>8.6670899999999995E-2</v>
      </c>
      <c r="C29" s="1">
        <v>99733.8</v>
      </c>
      <c r="D29">
        <f>C29-Equation_Sheet!$B$2</f>
        <v>-1591.1999999999971</v>
      </c>
      <c r="H29">
        <f t="shared" si="0"/>
        <v>0.77516341849067349</v>
      </c>
      <c r="I29" s="1">
        <f t="shared" si="1"/>
        <v>-3.5037631613118098E-2</v>
      </c>
      <c r="Y29">
        <v>-0.24957699999999999</v>
      </c>
    </row>
    <row r="30" spans="1:25" x14ac:dyDescent="0.3">
      <c r="A30">
        <v>1</v>
      </c>
      <c r="B30" s="1">
        <v>9.2838599999999993E-2</v>
      </c>
      <c r="C30" s="1">
        <v>101211</v>
      </c>
      <c r="D30">
        <f>C30-Equation_Sheet!$B$2</f>
        <v>-114</v>
      </c>
      <c r="H30">
        <f t="shared" si="0"/>
        <v>0.81252824610612651</v>
      </c>
      <c r="I30" s="1">
        <f t="shared" si="1"/>
        <v>-2.5102375590092198E-3</v>
      </c>
      <c r="Y30">
        <v>-0.47793200000000002</v>
      </c>
    </row>
    <row r="31" spans="1:25" x14ac:dyDescent="0.3">
      <c r="A31">
        <v>1</v>
      </c>
      <c r="B31" s="1">
        <v>9.8296599999999998E-2</v>
      </c>
      <c r="C31" s="1">
        <v>102347</v>
      </c>
      <c r="D31">
        <f>C31-Equation_Sheet!$B$2</f>
        <v>1022</v>
      </c>
      <c r="H31">
        <f t="shared" si="0"/>
        <v>0.84559360744424983</v>
      </c>
      <c r="I31" s="1">
        <f t="shared" si="1"/>
        <v>2.2504059520240548E-2</v>
      </c>
      <c r="Y31">
        <v>-0.52443799999999996</v>
      </c>
    </row>
    <row r="32" spans="1:25" x14ac:dyDescent="0.3">
      <c r="A32">
        <v>1</v>
      </c>
      <c r="B32" s="1">
        <v>0.103065</v>
      </c>
      <c r="C32" s="1">
        <v>104677</v>
      </c>
      <c r="D32">
        <f>C32-Equation_Sheet!$B$2</f>
        <v>3352</v>
      </c>
      <c r="H32">
        <f t="shared" si="0"/>
        <v>0.87448127124137465</v>
      </c>
      <c r="I32" s="1">
        <f t="shared" si="1"/>
        <v>7.3809792085955311E-2</v>
      </c>
      <c r="Y32">
        <v>-0.59541999999999995</v>
      </c>
    </row>
    <row r="33" spans="1:25" x14ac:dyDescent="0.3">
      <c r="A33">
        <v>1</v>
      </c>
      <c r="B33" s="1">
        <v>0.107186</v>
      </c>
      <c r="C33" s="1">
        <v>105320</v>
      </c>
      <c r="D33">
        <f>C33-Equation_Sheet!$B$2</f>
        <v>3995</v>
      </c>
      <c r="H33">
        <f t="shared" si="0"/>
        <v>0.8994468912623359</v>
      </c>
      <c r="I33" s="1">
        <f t="shared" si="1"/>
        <v>8.7968412703875731E-2</v>
      </c>
      <c r="Y33">
        <v>-0.68380799999999997</v>
      </c>
    </row>
    <row r="34" spans="1:25" x14ac:dyDescent="0.3">
      <c r="A34">
        <v>1</v>
      </c>
      <c r="B34" s="1">
        <v>0.11071300000000001</v>
      </c>
      <c r="C34" s="1">
        <v>107567</v>
      </c>
      <c r="D34">
        <f>C34-Equation_Sheet!$B$2</f>
        <v>6242</v>
      </c>
      <c r="H34">
        <f t="shared" si="0"/>
        <v>0.92081397250813313</v>
      </c>
      <c r="I34" s="1">
        <f t="shared" si="1"/>
        <v>0.13744651616961009</v>
      </c>
      <c r="Y34">
        <v>-0.70721699999999998</v>
      </c>
    </row>
    <row r="35" spans="1:25" x14ac:dyDescent="0.3">
      <c r="A35">
        <v>1</v>
      </c>
      <c r="B35" s="1">
        <v>0.113707</v>
      </c>
      <c r="C35" s="1">
        <v>107174</v>
      </c>
      <c r="D35">
        <f>C35-Equation_Sheet!$B$2</f>
        <v>5849</v>
      </c>
      <c r="H35">
        <f t="shared" si="0"/>
        <v>0.93895206189002045</v>
      </c>
      <c r="I35" s="1">
        <f t="shared" si="1"/>
        <v>0.12879280247934147</v>
      </c>
      <c r="Y35">
        <v>0.26018999999999998</v>
      </c>
    </row>
    <row r="36" spans="1:25" x14ac:dyDescent="0.3">
      <c r="A36">
        <v>1</v>
      </c>
      <c r="B36" s="1">
        <v>0.11623</v>
      </c>
      <c r="C36" s="1">
        <v>108291</v>
      </c>
      <c r="D36">
        <f>C36-Equation_Sheet!$B$2</f>
        <v>6966</v>
      </c>
      <c r="H36">
        <f t="shared" si="0"/>
        <v>0.95423676446533834</v>
      </c>
      <c r="I36" s="1">
        <f t="shared" si="1"/>
        <v>0.15338872663208969</v>
      </c>
      <c r="Y36">
        <v>0.35385499999999998</v>
      </c>
    </row>
    <row r="37" spans="1:25" x14ac:dyDescent="0.3">
      <c r="A37">
        <v>1</v>
      </c>
      <c r="B37" s="1">
        <v>0.118344</v>
      </c>
      <c r="C37" s="1">
        <v>117738</v>
      </c>
      <c r="D37">
        <f>C37-Equation_Sheet!$B$2</f>
        <v>16413</v>
      </c>
      <c r="H37">
        <f t="shared" si="0"/>
        <v>0.96704368529142715</v>
      </c>
      <c r="I37" s="1">
        <f t="shared" si="1"/>
        <v>0.36140814961419582</v>
      </c>
      <c r="Y37">
        <v>0.410854</v>
      </c>
    </row>
    <row r="38" spans="1:25" x14ac:dyDescent="0.3">
      <c r="A38">
        <v>1</v>
      </c>
      <c r="B38" s="1">
        <v>0.12010800000000001</v>
      </c>
      <c r="C38" s="1">
        <v>109187</v>
      </c>
      <c r="D38">
        <f>C38-Equation_Sheet!$B$2</f>
        <v>7862</v>
      </c>
      <c r="H38">
        <f t="shared" si="0"/>
        <v>0.97773025498736865</v>
      </c>
      <c r="I38" s="1">
        <f t="shared" si="1"/>
        <v>0.17311831306079373</v>
      </c>
      <c r="Y38">
        <v>-0.19059699999999999</v>
      </c>
    </row>
    <row r="39" spans="1:25" x14ac:dyDescent="0.3">
      <c r="A39">
        <v>1</v>
      </c>
      <c r="B39" s="1">
        <v>0.121572</v>
      </c>
      <c r="C39" s="1">
        <v>126600</v>
      </c>
      <c r="D39">
        <f>C39-Equation_Sheet!$B$2</f>
        <v>25275</v>
      </c>
      <c r="H39">
        <f t="shared" si="0"/>
        <v>0.9865993808574699</v>
      </c>
      <c r="I39" s="1">
        <f t="shared" si="1"/>
        <v>0.55654609038559677</v>
      </c>
      <c r="Y39">
        <v>-0.224053</v>
      </c>
    </row>
    <row r="40" spans="1:25" x14ac:dyDescent="0.3">
      <c r="A40">
        <v>1</v>
      </c>
      <c r="B40" s="1">
        <v>0.122784</v>
      </c>
      <c r="C40" s="1">
        <v>141996</v>
      </c>
      <c r="D40">
        <f>C40-Equation_Sheet!$B$2</f>
        <v>40671</v>
      </c>
      <c r="H40">
        <f t="shared" si="0"/>
        <v>0.99394185391386525</v>
      </c>
      <c r="I40" s="1">
        <f t="shared" si="1"/>
        <v>0.89556027861810505</v>
      </c>
      <c r="Y40">
        <v>-0.15217800000000001</v>
      </c>
    </row>
    <row r="41" spans="1:25" x14ac:dyDescent="0.3">
      <c r="I41" s="1"/>
      <c r="Y41">
        <v>-0.12378699999999999</v>
      </c>
    </row>
    <row r="42" spans="1:25" x14ac:dyDescent="0.3">
      <c r="A42">
        <v>2</v>
      </c>
      <c r="B42" s="1">
        <v>-4.1184499999999999E-2</v>
      </c>
      <c r="C42" s="1">
        <v>141970</v>
      </c>
      <c r="D42">
        <f>C42-Equation_Sheet!$B$2</f>
        <v>40645</v>
      </c>
      <c r="H42">
        <f t="shared" si="0"/>
        <v>5.9672738948427818E-4</v>
      </c>
      <c r="I42" s="1">
        <f t="shared" si="1"/>
        <v>0.89498776829762927</v>
      </c>
      <c r="Y42">
        <v>-8.8702299999999998E-2</v>
      </c>
    </row>
    <row r="43" spans="1:25" x14ac:dyDescent="0.3">
      <c r="A43">
        <v>2</v>
      </c>
      <c r="B43" s="1">
        <v>-4.0910599999999998E-2</v>
      </c>
      <c r="C43" s="1">
        <v>133093</v>
      </c>
      <c r="D43">
        <f>C43-Equation_Sheet!$B$2</f>
        <v>31768</v>
      </c>
      <c r="H43">
        <f t="shared" si="0"/>
        <v>2.2560536024765813E-3</v>
      </c>
      <c r="I43" s="1">
        <f t="shared" si="1"/>
        <v>0.69951953311056925</v>
      </c>
      <c r="Y43">
        <v>-5.9475800000000002E-2</v>
      </c>
    </row>
    <row r="44" spans="1:25" x14ac:dyDescent="0.3">
      <c r="A44">
        <v>2</v>
      </c>
      <c r="B44" s="1">
        <v>-4.04312E-2</v>
      </c>
      <c r="C44" s="1">
        <v>109109</v>
      </c>
      <c r="D44">
        <f>C44-Equation_Sheet!$B$2</f>
        <v>7784</v>
      </c>
      <c r="H44">
        <f t="shared" si="0"/>
        <v>5.1603288361695534E-3</v>
      </c>
      <c r="I44" s="1">
        <f t="shared" si="1"/>
        <v>0.17140078209936638</v>
      </c>
      <c r="Y44">
        <v>-3.09048E-2</v>
      </c>
    </row>
    <row r="45" spans="1:25" x14ac:dyDescent="0.3">
      <c r="A45">
        <v>2</v>
      </c>
      <c r="B45" s="1">
        <v>-3.9751000000000002E-2</v>
      </c>
      <c r="C45" s="1">
        <v>110706</v>
      </c>
      <c r="D45">
        <f>C45-Equation_Sheet!$B$2</f>
        <v>9381</v>
      </c>
      <c r="H45">
        <f t="shared" si="0"/>
        <v>9.2810798039583836E-3</v>
      </c>
      <c r="I45" s="1">
        <f t="shared" si="1"/>
        <v>0.20656612755320605</v>
      </c>
      <c r="Y45">
        <v>-1.2388E-3</v>
      </c>
    </row>
    <row r="46" spans="1:25" x14ac:dyDescent="0.3">
      <c r="A46">
        <v>2</v>
      </c>
      <c r="B46" s="1">
        <v>-3.8819800000000002E-2</v>
      </c>
      <c r="C46" s="1">
        <v>99712.9</v>
      </c>
      <c r="D46">
        <f>C46-Equation_Sheet!$B$2</f>
        <v>-1612.1000000000058</v>
      </c>
      <c r="H46">
        <f t="shared" si="0"/>
        <v>1.4922425439367035E-2</v>
      </c>
      <c r="I46" s="1">
        <f t="shared" si="1"/>
        <v>-3.5497841832269984E-2</v>
      </c>
      <c r="Y46">
        <v>1.9051800000000001E-2</v>
      </c>
    </row>
    <row r="47" spans="1:25" x14ac:dyDescent="0.3">
      <c r="A47">
        <v>2</v>
      </c>
      <c r="B47" s="1">
        <v>-3.7612399999999997E-2</v>
      </c>
      <c r="C47" s="1">
        <v>87710</v>
      </c>
      <c r="D47">
        <f>C47-Equation_Sheet!$B$2</f>
        <v>-13615</v>
      </c>
      <c r="H47">
        <f t="shared" si="0"/>
        <v>2.2237031023766122E-2</v>
      </c>
      <c r="I47" s="1">
        <f t="shared" si="1"/>
        <v>-0.29979723127991692</v>
      </c>
      <c r="Y47">
        <v>6.6683999999999993E-2</v>
      </c>
    </row>
    <row r="48" spans="1:25" x14ac:dyDescent="0.3">
      <c r="A48">
        <v>2</v>
      </c>
      <c r="B48" s="1">
        <v>-3.6096099999999999E-2</v>
      </c>
      <c r="C48" s="1">
        <v>75252.7</v>
      </c>
      <c r="D48">
        <f>C48-Equation_Sheet!$B$2</f>
        <v>-26072.300000000003</v>
      </c>
      <c r="H48">
        <f t="shared" si="0"/>
        <v>3.1422997934172185E-2</v>
      </c>
      <c r="I48" s="1">
        <f t="shared" si="1"/>
        <v>-0.57410233955926393</v>
      </c>
      <c r="Y48">
        <v>8.2587599999999997E-2</v>
      </c>
    </row>
    <row r="49" spans="1:25" x14ac:dyDescent="0.3">
      <c r="A49">
        <v>2</v>
      </c>
      <c r="B49" s="1">
        <v>-3.4229799999999998E-2</v>
      </c>
      <c r="C49" s="1">
        <v>72715.7</v>
      </c>
      <c r="D49">
        <f>C49-Equation_Sheet!$B$2</f>
        <v>-28609.300000000003</v>
      </c>
      <c r="H49">
        <f t="shared" si="0"/>
        <v>4.2729315974725422E-2</v>
      </c>
      <c r="I49" s="1">
        <f t="shared" si="1"/>
        <v>-0.62996613506107435</v>
      </c>
      <c r="Y49">
        <v>0.134072</v>
      </c>
    </row>
    <row r="50" spans="1:25" x14ac:dyDescent="0.3">
      <c r="A50">
        <v>2</v>
      </c>
      <c r="B50" s="1">
        <v>-3.1964699999999999E-2</v>
      </c>
      <c r="C50" s="1">
        <v>68843.399999999994</v>
      </c>
      <c r="D50">
        <f>C50-Equation_Sheet!$B$2</f>
        <v>-32481.600000000006</v>
      </c>
      <c r="H50">
        <f t="shared" si="0"/>
        <v>5.6451622674429172E-2</v>
      </c>
      <c r="I50" s="1">
        <f t="shared" si="1"/>
        <v>-0.71523273944485866</v>
      </c>
      <c r="Y50">
        <v>0.15776899999999999</v>
      </c>
    </row>
    <row r="51" spans="1:25" x14ac:dyDescent="0.3">
      <c r="A51">
        <v>2</v>
      </c>
      <c r="B51" s="1">
        <v>-2.9246100000000001E-2</v>
      </c>
      <c r="C51" s="1">
        <v>64021.7</v>
      </c>
      <c r="D51">
        <f>C51-Equation_Sheet!$B$2</f>
        <v>-37303.300000000003</v>
      </c>
      <c r="H51">
        <f t="shared" si="0"/>
        <v>7.2921298624195011E-2</v>
      </c>
      <c r="I51" s="1">
        <f t="shared" si="1"/>
        <v>-0.82140477837709336</v>
      </c>
      <c r="Y51">
        <v>-2.9168300000000001E-2</v>
      </c>
    </row>
    <row r="52" spans="1:25" x14ac:dyDescent="0.3">
      <c r="A52">
        <v>2</v>
      </c>
      <c r="B52" s="1">
        <v>-2.6016000000000001E-2</v>
      </c>
      <c r="C52" s="1">
        <v>62744.6</v>
      </c>
      <c r="D52">
        <f>C52-Equation_Sheet!$B$2</f>
        <v>-38580.400000000001</v>
      </c>
      <c r="H52">
        <f t="shared" si="0"/>
        <v>9.248971629701877E-2</v>
      </c>
      <c r="I52" s="1">
        <f t="shared" si="1"/>
        <v>-0.84952604492630968</v>
      </c>
      <c r="Y52">
        <v>-5.0000599999999999E-2</v>
      </c>
    </row>
    <row r="53" spans="1:25" x14ac:dyDescent="0.3">
      <c r="A53">
        <v>2</v>
      </c>
      <c r="B53" s="1">
        <v>-2.2216400000000001E-2</v>
      </c>
      <c r="C53" s="1">
        <v>63852.6</v>
      </c>
      <c r="D53">
        <f>C53-Equation_Sheet!$B$2</f>
        <v>-37472.400000000001</v>
      </c>
      <c r="H53">
        <f t="shared" si="0"/>
        <v>0.11550824816589626</v>
      </c>
      <c r="I53" s="1">
        <f t="shared" si="1"/>
        <v>-0.8251282974229569</v>
      </c>
      <c r="Y53">
        <v>-7.3542499999999997E-2</v>
      </c>
    </row>
    <row r="54" spans="1:25" x14ac:dyDescent="0.3">
      <c r="A54">
        <v>2</v>
      </c>
      <c r="B54" s="1">
        <v>-1.7793699999999999E-2</v>
      </c>
      <c r="C54" s="1">
        <v>62912.7</v>
      </c>
      <c r="D54">
        <f>C54-Equation_Sheet!$B$2</f>
        <v>-38412.300000000003</v>
      </c>
      <c r="H54">
        <f t="shared" si="0"/>
        <v>0.14230161086104429</v>
      </c>
      <c r="I54" s="1">
        <f t="shared" si="1"/>
        <v>-0.84582454550815667</v>
      </c>
      <c r="Y54">
        <v>-0.209675</v>
      </c>
    </row>
    <row r="55" spans="1:25" x14ac:dyDescent="0.3">
      <c r="A55">
        <v>2</v>
      </c>
      <c r="B55" s="1">
        <v>-1.27049E-2</v>
      </c>
      <c r="C55" s="1">
        <v>62008.9</v>
      </c>
      <c r="D55">
        <f>C55-Equation_Sheet!$B$2</f>
        <v>-39316.1</v>
      </c>
      <c r="H55">
        <f t="shared" si="0"/>
        <v>0.17313030466416665</v>
      </c>
      <c r="I55" s="1">
        <f t="shared" si="1"/>
        <v>-0.86572588503300341</v>
      </c>
      <c r="Y55">
        <v>-0.24413799999999999</v>
      </c>
    </row>
    <row r="56" spans="1:25" x14ac:dyDescent="0.3">
      <c r="A56">
        <v>2</v>
      </c>
      <c r="B56" s="1">
        <v>-6.92334E-3</v>
      </c>
      <c r="C56" s="1">
        <v>64831.199999999997</v>
      </c>
      <c r="D56">
        <f>C56-Equation_Sheet!$B$2</f>
        <v>-36493.800000000003</v>
      </c>
      <c r="H56">
        <f t="shared" si="0"/>
        <v>0.20815583974991972</v>
      </c>
      <c r="I56" s="1">
        <f t="shared" si="1"/>
        <v>-0.80357988974535677</v>
      </c>
      <c r="Y56">
        <v>-0.18740999999999999</v>
      </c>
    </row>
    <row r="57" spans="1:25" x14ac:dyDescent="0.3">
      <c r="A57">
        <v>2</v>
      </c>
      <c r="B57" s="1">
        <v>-4.46744E-4</v>
      </c>
      <c r="C57" s="1">
        <v>71557.399999999994</v>
      </c>
      <c r="D57">
        <f>C57-Equation_Sheet!$B$2</f>
        <v>-29767.600000000006</v>
      </c>
      <c r="H57">
        <f t="shared" si="0"/>
        <v>0.2473920044587955</v>
      </c>
      <c r="I57" s="1">
        <f t="shared" si="1"/>
        <v>-0.65547146983827076</v>
      </c>
      <c r="Y57">
        <v>-0.103746</v>
      </c>
    </row>
    <row r="58" spans="1:25" x14ac:dyDescent="0.3">
      <c r="A58">
        <v>2</v>
      </c>
      <c r="B58" s="1">
        <v>6.69683E-3</v>
      </c>
      <c r="C58" s="1">
        <v>77915.399999999994</v>
      </c>
      <c r="D58">
        <f>C58-Equation_Sheet!$B$2</f>
        <v>-23409.600000000006</v>
      </c>
      <c r="H58">
        <f t="shared" si="0"/>
        <v>0.29066881932790922</v>
      </c>
      <c r="I58" s="1">
        <f t="shared" si="1"/>
        <v>-0.5154706768542302</v>
      </c>
      <c r="Y58">
        <v>-9.8960699999999999E-2</v>
      </c>
    </row>
    <row r="59" spans="1:25" x14ac:dyDescent="0.3">
      <c r="A59">
        <v>2</v>
      </c>
      <c r="B59" s="1">
        <v>1.4444E-2</v>
      </c>
      <c r="C59" s="1">
        <v>81486.600000000006</v>
      </c>
      <c r="D59">
        <f>C59-Equation_Sheet!$B$2</f>
        <v>-19838.399999999994</v>
      </c>
      <c r="H59">
        <f t="shared" si="0"/>
        <v>0.33760230694202953</v>
      </c>
      <c r="I59" s="1">
        <f t="shared" si="1"/>
        <v>-0.43683418237410959</v>
      </c>
      <c r="Y59">
        <v>2.12409E-2</v>
      </c>
    </row>
    <row r="60" spans="1:25" x14ac:dyDescent="0.3">
      <c r="A60">
        <v>2</v>
      </c>
      <c r="B60" s="1">
        <v>2.2694200000000001E-2</v>
      </c>
      <c r="C60" s="1">
        <v>84317.8</v>
      </c>
      <c r="D60">
        <f>C60-Equation_Sheet!$B$2</f>
        <v>-17007.199999999997</v>
      </c>
      <c r="H60">
        <f t="shared" si="0"/>
        <v>0.38758322378185822</v>
      </c>
      <c r="I60" s="1">
        <f t="shared" si="1"/>
        <v>-0.37449221239983854</v>
      </c>
      <c r="Y60">
        <v>-0.42912099999999997</v>
      </c>
    </row>
    <row r="61" spans="1:25" x14ac:dyDescent="0.3">
      <c r="A61">
        <v>2</v>
      </c>
      <c r="B61" s="1">
        <v>3.1312600000000003E-2</v>
      </c>
      <c r="C61" s="1">
        <v>86992.1</v>
      </c>
      <c r="D61">
        <f>C61-Equation_Sheet!$B$2</f>
        <v>-14332.899999999994</v>
      </c>
      <c r="H61">
        <f t="shared" si="0"/>
        <v>0.43979475001060175</v>
      </c>
      <c r="I61" s="1">
        <f t="shared" si="1"/>
        <v>-0.31560512201336166</v>
      </c>
      <c r="Y61">
        <v>-0.54566999999999999</v>
      </c>
    </row>
    <row r="62" spans="1:25" x14ac:dyDescent="0.3">
      <c r="A62">
        <v>2</v>
      </c>
      <c r="B62" s="1">
        <v>4.0136400000000003E-2</v>
      </c>
      <c r="C62" s="1">
        <v>89102.399999999994</v>
      </c>
      <c r="D62">
        <f>C62-Equation_Sheet!$B$2</f>
        <v>-12222.600000000006</v>
      </c>
      <c r="H62">
        <f t="shared" si="0"/>
        <v>0.49325061944543724</v>
      </c>
      <c r="I62" s="1">
        <f t="shared" si="1"/>
        <v>-0.26913710165566757</v>
      </c>
      <c r="Y62">
        <v>-0.36365799999999998</v>
      </c>
    </row>
    <row r="63" spans="1:25" x14ac:dyDescent="0.3">
      <c r="A63">
        <v>2</v>
      </c>
      <c r="B63" s="1">
        <v>4.8986799999999997E-2</v>
      </c>
      <c r="C63" s="1">
        <v>90927.5</v>
      </c>
      <c r="D63">
        <f>C63-Equation_Sheet!$B$2</f>
        <v>-10397.5</v>
      </c>
      <c r="H63">
        <f t="shared" si="0"/>
        <v>0.54686763556616391</v>
      </c>
      <c r="I63" s="1">
        <f t="shared" si="1"/>
        <v>-0.22894907912103826</v>
      </c>
      <c r="Y63">
        <v>-0.31175900000000001</v>
      </c>
    </row>
    <row r="64" spans="1:25" x14ac:dyDescent="0.3">
      <c r="A64">
        <v>2</v>
      </c>
      <c r="B64" s="1">
        <v>5.7682400000000002E-2</v>
      </c>
      <c r="C64" s="1">
        <v>93023.4</v>
      </c>
      <c r="D64">
        <f>C64-Equation_Sheet!$B$2</f>
        <v>-8301.6000000000058</v>
      </c>
      <c r="H64">
        <f t="shared" si="0"/>
        <v>0.59954685067275715</v>
      </c>
      <c r="I64" s="1">
        <f t="shared" si="1"/>
        <v>-0.1827981414023768</v>
      </c>
      <c r="Y64">
        <v>-0.26273600000000003</v>
      </c>
    </row>
    <row r="65" spans="1:25" x14ac:dyDescent="0.3">
      <c r="A65">
        <v>2</v>
      </c>
      <c r="B65" s="1">
        <v>6.6054000000000002E-2</v>
      </c>
      <c r="C65" s="1">
        <v>94572.1</v>
      </c>
      <c r="D65">
        <f>C65-Equation_Sheet!$B$2</f>
        <v>-6752.8999999999942</v>
      </c>
      <c r="H65">
        <f t="shared" si="0"/>
        <v>0.6502632264474425</v>
      </c>
      <c r="I65" s="1">
        <f t="shared" si="1"/>
        <v>-0.14869634396695919</v>
      </c>
      <c r="Y65">
        <v>-9.7709400000000002E-2</v>
      </c>
    </row>
    <row r="66" spans="1:25" x14ac:dyDescent="0.3">
      <c r="A66">
        <v>2</v>
      </c>
      <c r="B66" s="1">
        <v>7.3956800000000003E-2</v>
      </c>
      <c r="C66" s="1">
        <v>96486.1</v>
      </c>
      <c r="D66">
        <f>C66-Equation_Sheet!$B$2</f>
        <v>-4838.8999999999942</v>
      </c>
      <c r="H66">
        <f t="shared" si="0"/>
        <v>0.69813954333694794</v>
      </c>
      <c r="I66" s="1">
        <f t="shared" si="1"/>
        <v>-0.10655077652885701</v>
      </c>
      <c r="Y66">
        <v>-0.123631</v>
      </c>
    </row>
    <row r="67" spans="1:25" x14ac:dyDescent="0.3">
      <c r="A67">
        <v>2</v>
      </c>
      <c r="B67" s="1">
        <v>8.1279299999999999E-2</v>
      </c>
      <c r="C67" s="1">
        <v>98080.5</v>
      </c>
      <c r="D67">
        <f>C67-Equation_Sheet!$B$2</f>
        <v>-3244.5</v>
      </c>
      <c r="H67">
        <f t="shared" ref="H67:H80" si="2">(B67-$E$2)/$F$2</f>
        <v>0.74250031805266947</v>
      </c>
      <c r="I67" s="1">
        <f t="shared" ref="I67:I80" si="3">D67/$T$2</f>
        <v>-7.1442682107065031E-2</v>
      </c>
      <c r="Y67">
        <v>-0.148895</v>
      </c>
    </row>
    <row r="68" spans="1:25" x14ac:dyDescent="0.3">
      <c r="A68">
        <v>2</v>
      </c>
      <c r="B68" s="1">
        <v>8.7947899999999996E-2</v>
      </c>
      <c r="C68" s="1">
        <v>99639.1</v>
      </c>
      <c r="D68">
        <f>C68-Equation_Sheet!$B$2</f>
        <v>-1685.8999999999942</v>
      </c>
      <c r="H68">
        <f t="shared" si="2"/>
        <v>0.78289967104266733</v>
      </c>
      <c r="I68" s="1">
        <f t="shared" si="3"/>
        <v>-3.7122890357312532E-2</v>
      </c>
      <c r="Y68">
        <v>-0.17337</v>
      </c>
    </row>
    <row r="69" spans="1:25" x14ac:dyDescent="0.3">
      <c r="A69">
        <v>2</v>
      </c>
      <c r="B69" s="1">
        <v>9.3925599999999998E-2</v>
      </c>
      <c r="C69" s="1">
        <v>101257</v>
      </c>
      <c r="D69">
        <f>C69-Equation_Sheet!$B$2</f>
        <v>-68</v>
      </c>
      <c r="H69">
        <f t="shared" si="2"/>
        <v>0.81911345090175502</v>
      </c>
      <c r="I69" s="1">
        <f t="shared" si="3"/>
        <v>-1.497334684321289E-3</v>
      </c>
      <c r="Y69">
        <v>-0.20116899999999999</v>
      </c>
    </row>
    <row r="70" spans="1:25" x14ac:dyDescent="0.3">
      <c r="A70">
        <v>2</v>
      </c>
      <c r="B70" s="1">
        <v>9.9208299999999999E-2</v>
      </c>
      <c r="C70" s="1">
        <v>102364</v>
      </c>
      <c r="D70">
        <f>C70-Equation_Sheet!$B$2</f>
        <v>1039</v>
      </c>
      <c r="H70">
        <f t="shared" si="2"/>
        <v>0.85111681923097871</v>
      </c>
      <c r="I70" s="1">
        <f t="shared" si="3"/>
        <v>2.2878393191320873E-2</v>
      </c>
      <c r="Y70">
        <v>-0.223577</v>
      </c>
    </row>
    <row r="71" spans="1:25" x14ac:dyDescent="0.3">
      <c r="A71">
        <v>2</v>
      </c>
      <c r="B71" s="1">
        <v>0.10381899999999999</v>
      </c>
      <c r="C71" s="1">
        <v>104963</v>
      </c>
      <c r="D71">
        <f>C71-Equation_Sheet!$B$2</f>
        <v>3638</v>
      </c>
      <c r="H71">
        <f t="shared" si="2"/>
        <v>0.87904911339032021</v>
      </c>
      <c r="I71" s="1">
        <f t="shared" si="3"/>
        <v>8.0107405611188967E-2</v>
      </c>
      <c r="Y71">
        <v>-0.246277</v>
      </c>
    </row>
    <row r="72" spans="1:25" x14ac:dyDescent="0.3">
      <c r="A72">
        <v>2</v>
      </c>
      <c r="B72" s="1">
        <v>0.107798</v>
      </c>
      <c r="C72" s="1">
        <v>105830</v>
      </c>
      <c r="D72">
        <f>C72-Equation_Sheet!$B$2</f>
        <v>4505</v>
      </c>
      <c r="H72">
        <f t="shared" si="2"/>
        <v>0.9031544766670504</v>
      </c>
      <c r="I72" s="1">
        <f t="shared" si="3"/>
        <v>9.9198422836285396E-2</v>
      </c>
      <c r="Y72">
        <v>-0.260467</v>
      </c>
    </row>
    <row r="73" spans="1:25" x14ac:dyDescent="0.3">
      <c r="A73">
        <v>2</v>
      </c>
      <c r="B73" s="1">
        <v>0.11120099999999999</v>
      </c>
      <c r="C73" s="1">
        <v>108639</v>
      </c>
      <c r="D73">
        <f>C73-Equation_Sheet!$B$2</f>
        <v>7314</v>
      </c>
      <c r="H73">
        <f t="shared" si="2"/>
        <v>0.9237703477981668</v>
      </c>
      <c r="I73" s="1">
        <f t="shared" si="3"/>
        <v>0.16105155707538099</v>
      </c>
      <c r="Y73">
        <v>-0.26742700000000003</v>
      </c>
    </row>
    <row r="74" spans="1:25" x14ac:dyDescent="0.3">
      <c r="A74">
        <v>2</v>
      </c>
      <c r="B74" s="1">
        <v>0.11408699999999999</v>
      </c>
      <c r="C74" s="1">
        <v>109932</v>
      </c>
      <c r="D74">
        <f>C74-Equation_Sheet!$B$2</f>
        <v>8607</v>
      </c>
      <c r="H74">
        <f t="shared" si="2"/>
        <v>0.94125415740275153</v>
      </c>
      <c r="I74" s="1">
        <f t="shared" si="3"/>
        <v>0.1895229357051961</v>
      </c>
      <c r="Y74">
        <v>-0.26013399999999998</v>
      </c>
    </row>
    <row r="75" spans="1:25" x14ac:dyDescent="0.3">
      <c r="A75">
        <v>2</v>
      </c>
      <c r="B75" s="1">
        <v>0.116517</v>
      </c>
      <c r="C75" s="1">
        <v>108642</v>
      </c>
      <c r="D75">
        <f>C75-Equation_Sheet!$B$2</f>
        <v>7317</v>
      </c>
      <c r="H75">
        <f t="shared" si="2"/>
        <v>0.95597545239205883</v>
      </c>
      <c r="I75" s="1">
        <f t="shared" si="3"/>
        <v>0.16111761595851282</v>
      </c>
      <c r="Y75">
        <v>-0.68690700000000005</v>
      </c>
    </row>
    <row r="76" spans="1:25" x14ac:dyDescent="0.3">
      <c r="A76">
        <v>2</v>
      </c>
      <c r="B76" s="1">
        <v>0.11855300000000001</v>
      </c>
      <c r="C76" s="1">
        <v>120629</v>
      </c>
      <c r="D76">
        <f>C76-Equation_Sheet!$B$2</f>
        <v>19304</v>
      </c>
      <c r="H76">
        <f t="shared" si="2"/>
        <v>0.96830983782342916</v>
      </c>
      <c r="I76" s="1">
        <f t="shared" si="3"/>
        <v>0.42506689332556125</v>
      </c>
      <c r="Y76">
        <v>-0.70413599999999998</v>
      </c>
    </row>
    <row r="77" spans="1:25" x14ac:dyDescent="0.3">
      <c r="A77">
        <v>2</v>
      </c>
      <c r="B77" s="1">
        <v>0.12024899999999999</v>
      </c>
      <c r="C77" s="1">
        <v>115519</v>
      </c>
      <c r="D77">
        <f>C77-Equation_Sheet!$B$2</f>
        <v>14194</v>
      </c>
      <c r="H77">
        <f t="shared" si="2"/>
        <v>0.97858445358551371</v>
      </c>
      <c r="I77" s="1">
        <f t="shared" si="3"/>
        <v>0.3125465957243585</v>
      </c>
      <c r="Y77">
        <v>-0.72070299999999998</v>
      </c>
    </row>
    <row r="78" spans="1:25" x14ac:dyDescent="0.3">
      <c r="A78">
        <v>2</v>
      </c>
      <c r="B78" s="1">
        <v>0.121658</v>
      </c>
      <c r="C78" s="1">
        <v>123738</v>
      </c>
      <c r="D78">
        <f>C78-Equation_Sheet!$B$2</f>
        <v>22413</v>
      </c>
      <c r="H78">
        <f t="shared" si="2"/>
        <v>0.98712038142087744</v>
      </c>
      <c r="I78" s="1">
        <f t="shared" si="3"/>
        <v>0.49352591587783901</v>
      </c>
      <c r="Y78">
        <v>-0.66896699999999998</v>
      </c>
    </row>
    <row r="79" spans="1:25" x14ac:dyDescent="0.3">
      <c r="A79">
        <v>2</v>
      </c>
      <c r="B79" s="1">
        <v>0.122822</v>
      </c>
      <c r="C79" s="1">
        <v>143800</v>
      </c>
      <c r="D79">
        <f>C79-Equation_Sheet!$B$2</f>
        <v>42475</v>
      </c>
      <c r="H79">
        <f t="shared" si="2"/>
        <v>0.99417206346513831</v>
      </c>
      <c r="I79" s="1">
        <f t="shared" si="3"/>
        <v>0.93528368700804043</v>
      </c>
      <c r="Y79">
        <v>0.134127</v>
      </c>
    </row>
    <row r="80" spans="1:25" x14ac:dyDescent="0.3">
      <c r="A80">
        <v>2</v>
      </c>
      <c r="B80" s="1">
        <v>0.12378400000000001</v>
      </c>
      <c r="C80" s="1">
        <v>100246</v>
      </c>
      <c r="D80">
        <f>C80-Equation_Sheet!$B$2</f>
        <v>-1079</v>
      </c>
      <c r="H80">
        <f t="shared" si="2"/>
        <v>1</v>
      </c>
      <c r="I80" s="1">
        <f t="shared" si="3"/>
        <v>-2.3759178299745158E-2</v>
      </c>
    </row>
  </sheetData>
  <sortState xmlns:xlrd2="http://schemas.microsoft.com/office/spreadsheetml/2017/richdata2" ref="A2:C80">
    <sortCondition ref="A1:A80"/>
  </sortState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67526-F4A4-43BC-A103-3FA3D082ADB7}">
  <dimension ref="A1:Y80"/>
  <sheetViews>
    <sheetView workbookViewId="0">
      <selection activeCell="U20" sqref="U20"/>
    </sheetView>
  </sheetViews>
  <sheetFormatPr defaultRowHeight="16.5" x14ac:dyDescent="0.3"/>
  <cols>
    <col min="2" max="3" width="9" style="1"/>
  </cols>
  <sheetData>
    <row r="1" spans="1:25" x14ac:dyDescent="0.3">
      <c r="B1" s="1" t="s">
        <v>0</v>
      </c>
      <c r="C1" s="1" t="s">
        <v>1</v>
      </c>
      <c r="R1" s="2" t="s">
        <v>8</v>
      </c>
      <c r="S1" t="s">
        <v>9</v>
      </c>
      <c r="T1" t="s">
        <v>7</v>
      </c>
      <c r="Y1" t="s">
        <v>15</v>
      </c>
    </row>
    <row r="2" spans="1:25" x14ac:dyDescent="0.3">
      <c r="A2">
        <v>1</v>
      </c>
      <c r="B2" s="1">
        <v>-4.1283E-2</v>
      </c>
      <c r="C2" s="1">
        <v>138082</v>
      </c>
      <c r="D2">
        <f>C2-Equation_Sheet!$B$2</f>
        <v>36757</v>
      </c>
      <c r="E2">
        <f>MIN(B:B)</f>
        <v>-4.1283E-2</v>
      </c>
      <c r="F2">
        <f>E3-E2</f>
        <v>0.16506700000000002</v>
      </c>
      <c r="H2">
        <f>(B2-$E$2)/$F$2</f>
        <v>0</v>
      </c>
      <c r="I2" s="1">
        <f>D2/$T$2</f>
        <v>0.72348801070140956</v>
      </c>
      <c r="R2">
        <f>0.96+0.14</f>
        <v>1.1000000000000001</v>
      </c>
      <c r="S2">
        <f>R2*Equation_Sheet!$D$2</f>
        <v>287.97932657906438</v>
      </c>
      <c r="T2">
        <f>(Equation_Sheet!$E$2*'0.96'!S2^2)/2</f>
        <v>50805.264850712178</v>
      </c>
      <c r="Y2">
        <v>8.7082699999999999E-2</v>
      </c>
    </row>
    <row r="3" spans="1:25" x14ac:dyDescent="0.3">
      <c r="A3">
        <v>1</v>
      </c>
      <c r="B3" s="1">
        <v>-4.1261199999999998E-2</v>
      </c>
      <c r="C3" s="1">
        <v>143091</v>
      </c>
      <c r="D3">
        <f>C3-Equation_Sheet!$B$2</f>
        <v>41766</v>
      </c>
      <c r="E3">
        <f>MAX(B:B)</f>
        <v>0.12378400000000001</v>
      </c>
      <c r="H3">
        <f t="shared" ref="H3:H4" si="0">(B3-$E$2)/$F$2</f>
        <v>1.3206758467775129E-4</v>
      </c>
      <c r="I3" s="1">
        <f t="shared" ref="I3:I66" si="1">D3/$T$2</f>
        <v>0.82208015493525244</v>
      </c>
      <c r="Y3">
        <v>0.141295</v>
      </c>
    </row>
    <row r="4" spans="1:25" x14ac:dyDescent="0.3">
      <c r="A4">
        <v>1</v>
      </c>
      <c r="B4" s="1">
        <v>-4.1144699999999999E-2</v>
      </c>
      <c r="C4" s="1">
        <v>136533</v>
      </c>
      <c r="D4">
        <f>C4-Equation_Sheet!$B$2</f>
        <v>35208</v>
      </c>
      <c r="H4">
        <f t="shared" si="0"/>
        <v>8.3784160371243744E-4</v>
      </c>
      <c r="I4" s="1">
        <f t="shared" si="1"/>
        <v>0.69299904455682537</v>
      </c>
      <c r="Y4">
        <v>6.5731700000000004E-2</v>
      </c>
    </row>
    <row r="5" spans="1:25" x14ac:dyDescent="0.3">
      <c r="A5">
        <v>1</v>
      </c>
      <c r="B5" s="1">
        <v>-4.0884499999999997E-2</v>
      </c>
      <c r="C5" s="1">
        <v>126449</v>
      </c>
      <c r="D5">
        <f>C5-Equation_Sheet!$B$2</f>
        <v>25124</v>
      </c>
      <c r="H5">
        <f t="shared" ref="H5:H40" si="2">(B5-$E$2)/$F$2</f>
        <v>2.4141712153247044E-3</v>
      </c>
      <c r="I5" s="1">
        <f t="shared" si="1"/>
        <v>0.49451567812558733</v>
      </c>
      <c r="Y5">
        <v>2.3576199999999999E-2</v>
      </c>
    </row>
    <row r="6" spans="1:25" x14ac:dyDescent="0.3">
      <c r="A6">
        <v>1</v>
      </c>
      <c r="B6" s="1">
        <v>-4.0419900000000002E-2</v>
      </c>
      <c r="C6" s="1">
        <v>129086</v>
      </c>
      <c r="D6">
        <f>C6-Equation_Sheet!$B$2</f>
        <v>27761</v>
      </c>
      <c r="H6">
        <f t="shared" si="2"/>
        <v>5.2287858869428687E-3</v>
      </c>
      <c r="I6" s="1">
        <f t="shared" si="1"/>
        <v>0.54641974766933732</v>
      </c>
      <c r="Y6">
        <v>-1.50189E-2</v>
      </c>
    </row>
    <row r="7" spans="1:25" x14ac:dyDescent="0.3">
      <c r="A7">
        <v>1</v>
      </c>
      <c r="B7" s="1">
        <v>-3.9683499999999997E-2</v>
      </c>
      <c r="C7" s="1">
        <v>130960</v>
      </c>
      <c r="D7">
        <f>C7-Equation_Sheet!$B$2</f>
        <v>29635</v>
      </c>
      <c r="H7">
        <f t="shared" si="2"/>
        <v>9.6900046647725082E-3</v>
      </c>
      <c r="I7" s="1">
        <f t="shared" si="1"/>
        <v>0.58330568863444443</v>
      </c>
      <c r="Y7">
        <v>-3.4890699999999997E-2</v>
      </c>
    </row>
    <row r="8" spans="1:25" x14ac:dyDescent="0.3">
      <c r="A8">
        <v>1</v>
      </c>
      <c r="B8" s="1">
        <v>-3.86735E-2</v>
      </c>
      <c r="C8" s="1">
        <v>121205</v>
      </c>
      <c r="D8">
        <f>C8-Equation_Sheet!$B$2</f>
        <v>19880</v>
      </c>
      <c r="H8">
        <f t="shared" si="2"/>
        <v>1.5808732211768557E-2</v>
      </c>
      <c r="I8" s="1">
        <f t="shared" si="1"/>
        <v>0.39129802902152033</v>
      </c>
      <c r="Y8">
        <v>-6.2904600000000005E-2</v>
      </c>
    </row>
    <row r="9" spans="1:25" x14ac:dyDescent="0.3">
      <c r="A9">
        <v>1</v>
      </c>
      <c r="B9" s="1">
        <v>-3.7356300000000002E-2</v>
      </c>
      <c r="C9" s="1">
        <v>116641</v>
      </c>
      <c r="D9">
        <f>C9-Equation_Sheet!$B$2</f>
        <v>15316</v>
      </c>
      <c r="H9">
        <f t="shared" si="2"/>
        <v>2.3788522236425195E-2</v>
      </c>
      <c r="I9" s="1">
        <f t="shared" si="1"/>
        <v>0.30146481954193183</v>
      </c>
      <c r="Y9">
        <v>-8.5159600000000002E-2</v>
      </c>
    </row>
    <row r="10" spans="1:25" x14ac:dyDescent="0.3">
      <c r="A10">
        <v>1</v>
      </c>
      <c r="B10" s="1">
        <v>-3.5689600000000002E-2</v>
      </c>
      <c r="C10" s="1">
        <v>106433</v>
      </c>
      <c r="D10">
        <f>C10-Equation_Sheet!$B$2</f>
        <v>5108</v>
      </c>
      <c r="H10">
        <f t="shared" si="2"/>
        <v>3.3885634318185934E-2</v>
      </c>
      <c r="I10" s="1">
        <f t="shared" si="1"/>
        <v>0.10054076117917132</v>
      </c>
      <c r="Y10">
        <v>0.79418</v>
      </c>
    </row>
    <row r="11" spans="1:25" x14ac:dyDescent="0.3">
      <c r="A11">
        <v>1</v>
      </c>
      <c r="B11" s="1">
        <v>-3.3623399999999998E-2</v>
      </c>
      <c r="C11" s="1">
        <v>101677</v>
      </c>
      <c r="D11">
        <f>C11-Equation_Sheet!$B$2</f>
        <v>352</v>
      </c>
      <c r="H11">
        <f t="shared" si="2"/>
        <v>4.6402975761357518E-2</v>
      </c>
      <c r="I11" s="1">
        <f t="shared" si="1"/>
        <v>6.9284158056124321E-3</v>
      </c>
      <c r="Y11">
        <v>0.78776000000000002</v>
      </c>
    </row>
    <row r="12" spans="1:25" x14ac:dyDescent="0.3">
      <c r="A12">
        <v>1</v>
      </c>
      <c r="B12" s="1">
        <v>-3.1100800000000001E-2</v>
      </c>
      <c r="C12" s="1">
        <v>94603.5</v>
      </c>
      <c r="D12">
        <f>C12-Equation_Sheet!$B$2</f>
        <v>-6721.5</v>
      </c>
      <c r="H12">
        <f t="shared" si="2"/>
        <v>6.1685255078240943E-2</v>
      </c>
      <c r="I12" s="1">
        <f t="shared" si="1"/>
        <v>-0.13229928078813627</v>
      </c>
      <c r="Y12">
        <v>0.67379999999999995</v>
      </c>
    </row>
    <row r="13" spans="1:25" x14ac:dyDescent="0.3">
      <c r="A13">
        <v>1</v>
      </c>
      <c r="B13" s="1">
        <v>-2.8060600000000002E-2</v>
      </c>
      <c r="C13" s="1">
        <v>93426</v>
      </c>
      <c r="D13">
        <f>C13-Equation_Sheet!$B$2</f>
        <v>-7899</v>
      </c>
      <c r="H13">
        <f t="shared" si="2"/>
        <v>8.0103230809307716E-2</v>
      </c>
      <c r="I13" s="1">
        <f t="shared" si="1"/>
        <v>-0.15547601263787672</v>
      </c>
      <c r="Y13">
        <v>0.46055699999999999</v>
      </c>
    </row>
    <row r="14" spans="1:25" x14ac:dyDescent="0.3">
      <c r="A14">
        <v>1</v>
      </c>
      <c r="B14" s="1">
        <v>-2.44406E-2</v>
      </c>
      <c r="C14" s="1">
        <v>89961.8</v>
      </c>
      <c r="D14">
        <f>C14-Equation_Sheet!$B$2</f>
        <v>-11363.199999999997</v>
      </c>
      <c r="H14">
        <f t="shared" si="2"/>
        <v>0.10203371964111542</v>
      </c>
      <c r="I14" s="1">
        <f t="shared" si="1"/>
        <v>-0.22366185932481583</v>
      </c>
      <c r="Y14">
        <v>0.64540299999999995</v>
      </c>
    </row>
    <row r="15" spans="1:25" x14ac:dyDescent="0.3">
      <c r="A15">
        <v>1</v>
      </c>
      <c r="B15" s="1">
        <v>-2.0181899999999999E-2</v>
      </c>
      <c r="C15" s="1">
        <v>87131.9</v>
      </c>
      <c r="D15">
        <f>C15-Equation_Sheet!$B$2</f>
        <v>-14193.100000000006</v>
      </c>
      <c r="H15">
        <f t="shared" si="2"/>
        <v>0.12783354637813735</v>
      </c>
      <c r="I15" s="1">
        <f t="shared" si="1"/>
        <v>-0.27936277946203936</v>
      </c>
      <c r="Y15">
        <v>0.45667200000000002</v>
      </c>
    </row>
    <row r="16" spans="1:25" x14ac:dyDescent="0.3">
      <c r="A16">
        <v>1</v>
      </c>
      <c r="B16" s="1">
        <v>-1.52348E-2</v>
      </c>
      <c r="C16" s="1">
        <v>86471.1</v>
      </c>
      <c r="D16">
        <f>C16-Equation_Sheet!$B$2</f>
        <v>-14853.899999999994</v>
      </c>
      <c r="H16">
        <f t="shared" si="2"/>
        <v>0.15780380088085444</v>
      </c>
      <c r="I16" s="1">
        <f t="shared" si="1"/>
        <v>-0.29236930549712065</v>
      </c>
      <c r="Y16">
        <v>3.3050400000000001E-2</v>
      </c>
    </row>
    <row r="17" spans="1:25" x14ac:dyDescent="0.3">
      <c r="A17">
        <v>1</v>
      </c>
      <c r="B17" s="1">
        <v>-9.5662899999999999E-3</v>
      </c>
      <c r="C17" s="1">
        <v>85920.5</v>
      </c>
      <c r="D17">
        <f>C17-Equation_Sheet!$B$2</f>
        <v>-15404.5</v>
      </c>
      <c r="H17">
        <f t="shared" si="2"/>
        <v>0.19214446255156997</v>
      </c>
      <c r="I17" s="1">
        <f t="shared" si="1"/>
        <v>-0.30320676499305882</v>
      </c>
      <c r="Y17">
        <v>-1.4262800000000001E-2</v>
      </c>
    </row>
    <row r="18" spans="1:25" x14ac:dyDescent="0.3">
      <c r="A18">
        <v>1</v>
      </c>
      <c r="B18" s="1">
        <v>-3.1673000000000001E-3</v>
      </c>
      <c r="C18" s="1">
        <v>85530.1</v>
      </c>
      <c r="D18">
        <f>C18-Equation_Sheet!$B$2</f>
        <v>-15794.899999999994</v>
      </c>
      <c r="H18">
        <f t="shared" si="2"/>
        <v>0.23091047877528517</v>
      </c>
      <c r="I18" s="1">
        <f t="shared" si="1"/>
        <v>-0.31089100797746522</v>
      </c>
      <c r="Y18">
        <v>-0.33627400000000002</v>
      </c>
    </row>
    <row r="19" spans="1:25" x14ac:dyDescent="0.3">
      <c r="A19">
        <v>1</v>
      </c>
      <c r="B19" s="1">
        <v>3.9396300000000004E-3</v>
      </c>
      <c r="C19" s="1">
        <v>85678</v>
      </c>
      <c r="D19">
        <f>C19-Equation_Sheet!$B$2</f>
        <v>-15647</v>
      </c>
      <c r="H19">
        <f t="shared" si="2"/>
        <v>0.27396529893921856</v>
      </c>
      <c r="I19" s="1">
        <f t="shared" si="1"/>
        <v>-0.30797989235914125</v>
      </c>
      <c r="Y19">
        <v>-0.49638500000000002</v>
      </c>
    </row>
    <row r="20" spans="1:25" x14ac:dyDescent="0.3">
      <c r="A20">
        <v>1</v>
      </c>
      <c r="B20" s="1">
        <v>1.1694700000000001E-2</v>
      </c>
      <c r="C20" s="1">
        <v>87108.9</v>
      </c>
      <c r="D20">
        <f>C20-Equation_Sheet!$B$2</f>
        <v>-14216.100000000006</v>
      </c>
      <c r="H20">
        <f t="shared" si="2"/>
        <v>0.32094664590741939</v>
      </c>
      <c r="I20" s="1">
        <f t="shared" si="1"/>
        <v>-0.2798154884493379</v>
      </c>
      <c r="Y20">
        <v>-0.56621699999999997</v>
      </c>
    </row>
    <row r="21" spans="1:25" x14ac:dyDescent="0.3">
      <c r="A21">
        <v>1</v>
      </c>
      <c r="B21" s="1">
        <v>1.9998499999999999E-2</v>
      </c>
      <c r="C21" s="1">
        <v>88659.8</v>
      </c>
      <c r="D21">
        <f>C21-Equation_Sheet!$B$2</f>
        <v>-12665.199999999997</v>
      </c>
      <c r="H21">
        <f t="shared" si="2"/>
        <v>0.37125227937746486</v>
      </c>
      <c r="I21" s="1">
        <f t="shared" si="1"/>
        <v>-0.24928912460580271</v>
      </c>
      <c r="Y21">
        <v>-0.61364399999999997</v>
      </c>
    </row>
    <row r="22" spans="1:25" x14ac:dyDescent="0.3">
      <c r="A22">
        <v>1</v>
      </c>
      <c r="B22" s="1">
        <v>2.8714E-2</v>
      </c>
      <c r="C22" s="1">
        <v>90038.3</v>
      </c>
      <c r="D22">
        <f>C22-Equation_Sheet!$B$2</f>
        <v>-11286.699999999997</v>
      </c>
      <c r="H22">
        <f t="shared" si="2"/>
        <v>0.42405205159117204</v>
      </c>
      <c r="I22" s="1">
        <f t="shared" si="1"/>
        <v>-0.222156109867062</v>
      </c>
      <c r="Y22">
        <v>-0.66727700000000001</v>
      </c>
    </row>
    <row r="23" spans="1:25" x14ac:dyDescent="0.3">
      <c r="A23">
        <v>1</v>
      </c>
      <c r="B23" s="1">
        <v>3.76738E-2</v>
      </c>
      <c r="C23" s="1">
        <v>91331.7</v>
      </c>
      <c r="D23">
        <f>C23-Equation_Sheet!$B$2</f>
        <v>-9993.3000000000029</v>
      </c>
      <c r="H23">
        <f t="shared" si="2"/>
        <v>0.47833182889372183</v>
      </c>
      <c r="I23" s="1">
        <f t="shared" si="1"/>
        <v>-0.19669811838132598</v>
      </c>
      <c r="Y23">
        <v>0.76561999999999997</v>
      </c>
    </row>
    <row r="24" spans="1:25" x14ac:dyDescent="0.3">
      <c r="A24">
        <v>1</v>
      </c>
      <c r="B24" s="1">
        <v>4.6691799999999999E-2</v>
      </c>
      <c r="C24" s="1">
        <v>92758.7</v>
      </c>
      <c r="D24">
        <f>C24-Equation_Sheet!$B$2</f>
        <v>-8566.3000000000029</v>
      </c>
      <c r="H24">
        <f t="shared" si="2"/>
        <v>0.53296419029848474</v>
      </c>
      <c r="I24" s="1">
        <f t="shared" si="1"/>
        <v>-0.16861047816936875</v>
      </c>
      <c r="Y24">
        <v>-2.2122600000000002E-3</v>
      </c>
    </row>
    <row r="25" spans="1:25" x14ac:dyDescent="0.3">
      <c r="A25">
        <v>1</v>
      </c>
      <c r="B25" s="1">
        <v>5.5578200000000001E-2</v>
      </c>
      <c r="C25" s="1">
        <v>94186.7</v>
      </c>
      <c r="D25">
        <f>C25-Equation_Sheet!$B$2</f>
        <v>-7138.3000000000029</v>
      </c>
      <c r="H25">
        <f t="shared" si="2"/>
        <v>0.58679929967831246</v>
      </c>
      <c r="I25" s="1">
        <f t="shared" si="1"/>
        <v>-0.14050315495796376</v>
      </c>
      <c r="Y25">
        <v>0.79177699999999995</v>
      </c>
    </row>
    <row r="26" spans="1:25" x14ac:dyDescent="0.3">
      <c r="A26">
        <v>1</v>
      </c>
      <c r="B26" s="1">
        <v>6.4154799999999998E-2</v>
      </c>
      <c r="C26" s="1">
        <v>95578.6</v>
      </c>
      <c r="D26">
        <f>C26-Equation_Sheet!$B$2</f>
        <v>-5746.3999999999942</v>
      </c>
      <c r="H26">
        <f t="shared" si="2"/>
        <v>0.63875759540065535</v>
      </c>
      <c r="I26" s="1">
        <f t="shared" si="1"/>
        <v>-0.11310638802662284</v>
      </c>
      <c r="Y26">
        <v>9.36419E-2</v>
      </c>
    </row>
    <row r="27" spans="1:25" x14ac:dyDescent="0.3">
      <c r="A27">
        <v>1</v>
      </c>
      <c r="B27" s="1">
        <v>7.2268399999999997E-2</v>
      </c>
      <c r="C27" s="1">
        <v>96679.3</v>
      </c>
      <c r="D27">
        <f>C27-Equation_Sheet!$B$2</f>
        <v>-4645.6999999999971</v>
      </c>
      <c r="H27">
        <f t="shared" si="2"/>
        <v>0.6879109694851181</v>
      </c>
      <c r="I27" s="1">
        <f t="shared" si="1"/>
        <v>-9.1441310534470618E-2</v>
      </c>
      <c r="Y27">
        <v>6.4548599999999998E-3</v>
      </c>
    </row>
    <row r="28" spans="1:25" x14ac:dyDescent="0.3">
      <c r="A28">
        <v>1</v>
      </c>
      <c r="B28" s="1">
        <v>7.9800399999999994E-2</v>
      </c>
      <c r="C28" s="1">
        <v>97893.4</v>
      </c>
      <c r="D28">
        <f>C28-Equation_Sheet!$B$2</f>
        <v>-3431.6000000000058</v>
      </c>
      <c r="H28">
        <f t="shared" si="2"/>
        <v>0.73354092580588481</v>
      </c>
      <c r="I28" s="1">
        <f t="shared" si="1"/>
        <v>-6.7544180904942228E-2</v>
      </c>
      <c r="Y28">
        <v>0.28074900000000003</v>
      </c>
    </row>
    <row r="29" spans="1:25" x14ac:dyDescent="0.3">
      <c r="A29">
        <v>1</v>
      </c>
      <c r="B29" s="1">
        <v>8.6670899999999995E-2</v>
      </c>
      <c r="C29" s="1">
        <v>99421.6</v>
      </c>
      <c r="D29">
        <f>C29-Equation_Sheet!$B$2</f>
        <v>-1903.3999999999942</v>
      </c>
      <c r="H29">
        <f t="shared" si="2"/>
        <v>0.77516341849067349</v>
      </c>
      <c r="I29" s="1">
        <f t="shared" si="1"/>
        <v>-3.7464621148871204E-2</v>
      </c>
      <c r="Y29">
        <v>0.36441899999999999</v>
      </c>
    </row>
    <row r="30" spans="1:25" x14ac:dyDescent="0.3">
      <c r="A30">
        <v>1</v>
      </c>
      <c r="B30" s="1">
        <v>9.2838599999999993E-2</v>
      </c>
      <c r="C30" s="1">
        <v>100506</v>
      </c>
      <c r="D30">
        <f>C30-Equation_Sheet!$B$2</f>
        <v>-819</v>
      </c>
      <c r="H30">
        <f t="shared" si="2"/>
        <v>0.81252824610612651</v>
      </c>
      <c r="I30" s="1">
        <f t="shared" si="1"/>
        <v>-1.6120376547717561E-2</v>
      </c>
      <c r="Y30">
        <v>0.54323100000000002</v>
      </c>
    </row>
    <row r="31" spans="1:25" x14ac:dyDescent="0.3">
      <c r="A31">
        <v>1</v>
      </c>
      <c r="B31" s="1">
        <v>9.8296599999999998E-2</v>
      </c>
      <c r="C31" s="1">
        <v>102611</v>
      </c>
      <c r="D31">
        <f>C31-Equation_Sheet!$B$2</f>
        <v>1286</v>
      </c>
      <c r="H31">
        <f t="shared" si="2"/>
        <v>0.84559360744424983</v>
      </c>
      <c r="I31" s="1">
        <f t="shared" si="1"/>
        <v>2.5312337289822694E-2</v>
      </c>
      <c r="Y31">
        <v>0.50887800000000005</v>
      </c>
    </row>
    <row r="32" spans="1:25" x14ac:dyDescent="0.3">
      <c r="A32">
        <v>1</v>
      </c>
      <c r="B32" s="1">
        <v>0.103065</v>
      </c>
      <c r="C32" s="1">
        <v>104911</v>
      </c>
      <c r="D32">
        <f>C32-Equation_Sheet!$B$2</f>
        <v>3586</v>
      </c>
      <c r="H32">
        <f t="shared" si="2"/>
        <v>0.87448127124137465</v>
      </c>
      <c r="I32" s="1">
        <f t="shared" si="1"/>
        <v>7.0583236019676657E-2</v>
      </c>
      <c r="Y32">
        <v>-0.73740799999999995</v>
      </c>
    </row>
    <row r="33" spans="1:25" x14ac:dyDescent="0.3">
      <c r="A33">
        <v>1</v>
      </c>
      <c r="B33" s="1">
        <v>0.107186</v>
      </c>
      <c r="C33" s="1">
        <v>106076</v>
      </c>
      <c r="D33">
        <f>C33-Equation_Sheet!$B$2</f>
        <v>4751</v>
      </c>
      <c r="H33">
        <f t="shared" si="2"/>
        <v>0.8994468912623359</v>
      </c>
      <c r="I33" s="1">
        <f t="shared" si="1"/>
        <v>9.3513930376320067E-2</v>
      </c>
      <c r="Y33">
        <v>-0.757386</v>
      </c>
    </row>
    <row r="34" spans="1:25" x14ac:dyDescent="0.3">
      <c r="A34">
        <v>1</v>
      </c>
      <c r="B34" s="1">
        <v>0.11071300000000001</v>
      </c>
      <c r="C34" s="1">
        <v>109033</v>
      </c>
      <c r="D34">
        <f>C34-Equation_Sheet!$B$2</f>
        <v>7708</v>
      </c>
      <c r="H34">
        <f t="shared" si="2"/>
        <v>0.92081397250813313</v>
      </c>
      <c r="I34" s="1">
        <f t="shared" si="1"/>
        <v>0.15171655974335405</v>
      </c>
      <c r="Y34">
        <v>-0.76372899999999999</v>
      </c>
    </row>
    <row r="35" spans="1:25" x14ac:dyDescent="0.3">
      <c r="A35">
        <v>1</v>
      </c>
      <c r="B35" s="1">
        <v>0.113707</v>
      </c>
      <c r="C35" s="1">
        <v>110687</v>
      </c>
      <c r="D35">
        <f>C35-Equation_Sheet!$B$2</f>
        <v>9362</v>
      </c>
      <c r="H35">
        <f t="shared" si="2"/>
        <v>0.93895206189002045</v>
      </c>
      <c r="I35" s="1">
        <f t="shared" si="1"/>
        <v>0.18427224082995339</v>
      </c>
      <c r="Y35">
        <v>-0.75542600000000004</v>
      </c>
    </row>
    <row r="36" spans="1:25" x14ac:dyDescent="0.3">
      <c r="A36">
        <v>1</v>
      </c>
      <c r="B36" s="1">
        <v>0.11623</v>
      </c>
      <c r="C36" s="1">
        <v>110223</v>
      </c>
      <c r="D36">
        <f>C36-Equation_Sheet!$B$2</f>
        <v>8898</v>
      </c>
      <c r="H36">
        <f t="shared" si="2"/>
        <v>0.95423676446533834</v>
      </c>
      <c r="I36" s="1">
        <f t="shared" si="1"/>
        <v>0.17513932908619154</v>
      </c>
      <c r="Y36">
        <v>-0.69322700000000004</v>
      </c>
    </row>
    <row r="37" spans="1:25" x14ac:dyDescent="0.3">
      <c r="A37">
        <v>1</v>
      </c>
      <c r="B37" s="1">
        <v>0.118344</v>
      </c>
      <c r="C37" s="1">
        <v>121408</v>
      </c>
      <c r="D37">
        <f>C37-Equation_Sheet!$B$2</f>
        <v>20083</v>
      </c>
      <c r="H37">
        <f t="shared" si="2"/>
        <v>0.96704368529142715</v>
      </c>
      <c r="I37" s="1">
        <f t="shared" si="1"/>
        <v>0.39529367790941611</v>
      </c>
      <c r="Y37">
        <v>-0.52551899999999996</v>
      </c>
    </row>
    <row r="38" spans="1:25" x14ac:dyDescent="0.3">
      <c r="A38">
        <v>1</v>
      </c>
      <c r="B38" s="1">
        <v>0.12010800000000001</v>
      </c>
      <c r="C38" s="1">
        <v>118663</v>
      </c>
      <c r="D38">
        <f>C38-Equation_Sheet!$B$2</f>
        <v>17338</v>
      </c>
      <c r="H38">
        <f t="shared" si="2"/>
        <v>0.97773025498736865</v>
      </c>
      <c r="I38" s="1">
        <f t="shared" si="1"/>
        <v>0.34126384442530783</v>
      </c>
      <c r="Y38">
        <v>0.16311700000000001</v>
      </c>
    </row>
    <row r="39" spans="1:25" x14ac:dyDescent="0.3">
      <c r="A39">
        <v>1</v>
      </c>
      <c r="B39" s="1">
        <v>0.121572</v>
      </c>
      <c r="C39" s="1">
        <v>128578</v>
      </c>
      <c r="D39">
        <f>C39-Equation_Sheet!$B$2</f>
        <v>27253</v>
      </c>
      <c r="H39">
        <f t="shared" si="2"/>
        <v>0.9865993808574699</v>
      </c>
      <c r="I39" s="1">
        <f t="shared" si="1"/>
        <v>0.53642078394987391</v>
      </c>
      <c r="Y39">
        <v>0.36813200000000001</v>
      </c>
    </row>
    <row r="40" spans="1:25" x14ac:dyDescent="0.3">
      <c r="A40">
        <v>1</v>
      </c>
      <c r="B40" s="1">
        <v>0.122784</v>
      </c>
      <c r="C40" s="1">
        <v>152208</v>
      </c>
      <c r="D40">
        <f>C40-Equation_Sheet!$B$2</f>
        <v>50883</v>
      </c>
      <c r="H40">
        <f t="shared" si="2"/>
        <v>0.99394185391386525</v>
      </c>
      <c r="I40" s="1">
        <f t="shared" si="1"/>
        <v>1.001530060900504</v>
      </c>
      <c r="Y40">
        <v>0.17161000000000001</v>
      </c>
    </row>
    <row r="41" spans="1:25" x14ac:dyDescent="0.3">
      <c r="I41" s="1"/>
      <c r="Y41">
        <v>-0.26017400000000002</v>
      </c>
    </row>
    <row r="42" spans="1:25" x14ac:dyDescent="0.3">
      <c r="A42">
        <v>2</v>
      </c>
      <c r="B42" s="1">
        <v>-4.1184499999999999E-2</v>
      </c>
      <c r="C42" s="1">
        <v>144649</v>
      </c>
      <c r="D42">
        <f>C42-Equation_Sheet!$B$2</f>
        <v>43324</v>
      </c>
      <c r="H42">
        <f t="shared" ref="H42:H79" si="3">(B43-$E$2)/$F$2</f>
        <v>2.2560536024765813E-3</v>
      </c>
      <c r="I42" s="1">
        <f t="shared" si="1"/>
        <v>0.85274626807486653</v>
      </c>
      <c r="Y42">
        <v>-0.272287</v>
      </c>
    </row>
    <row r="43" spans="1:25" x14ac:dyDescent="0.3">
      <c r="A43">
        <v>2</v>
      </c>
      <c r="B43" s="1">
        <v>-4.0910599999999998E-2</v>
      </c>
      <c r="C43" s="1">
        <v>144299</v>
      </c>
      <c r="D43">
        <f>C43-Equation_Sheet!$B$2</f>
        <v>42974</v>
      </c>
      <c r="H43">
        <f t="shared" si="3"/>
        <v>5.1603288361695534E-3</v>
      </c>
      <c r="I43" s="1">
        <f t="shared" si="1"/>
        <v>0.84585721826814964</v>
      </c>
      <c r="Y43">
        <v>-0.20829800000000001</v>
      </c>
    </row>
    <row r="44" spans="1:25" x14ac:dyDescent="0.3">
      <c r="A44">
        <v>2</v>
      </c>
      <c r="B44" s="1">
        <v>-4.04312E-2</v>
      </c>
      <c r="C44" s="1">
        <v>126238</v>
      </c>
      <c r="D44">
        <f>C44-Equation_Sheet!$B$2</f>
        <v>24913</v>
      </c>
      <c r="H44">
        <f t="shared" si="3"/>
        <v>9.2810798039583836E-3</v>
      </c>
      <c r="I44" s="1">
        <f t="shared" si="1"/>
        <v>0.49036256524210947</v>
      </c>
      <c r="Y44">
        <v>-0.14479600000000001</v>
      </c>
    </row>
    <row r="45" spans="1:25" x14ac:dyDescent="0.3">
      <c r="A45">
        <v>2</v>
      </c>
      <c r="B45" s="1">
        <v>-3.9751000000000002E-2</v>
      </c>
      <c r="C45" s="1">
        <v>103128</v>
      </c>
      <c r="D45">
        <f>C45-Equation_Sheet!$B$2</f>
        <v>1803</v>
      </c>
      <c r="H45">
        <f t="shared" si="3"/>
        <v>1.4922425439367035E-2</v>
      </c>
      <c r="I45" s="1">
        <f t="shared" si="1"/>
        <v>3.5488448004315956E-2</v>
      </c>
      <c r="Y45">
        <v>-0.123211</v>
      </c>
    </row>
    <row r="46" spans="1:25" x14ac:dyDescent="0.3">
      <c r="A46">
        <v>2</v>
      </c>
      <c r="B46" s="1">
        <v>-3.8819800000000002E-2</v>
      </c>
      <c r="C46" s="1">
        <v>100547</v>
      </c>
      <c r="D46">
        <f>C46-Equation_Sheet!$B$2</f>
        <v>-778</v>
      </c>
      <c r="H46">
        <f t="shared" si="3"/>
        <v>2.2237031023766122E-2</v>
      </c>
      <c r="I46" s="1">
        <f t="shared" si="1"/>
        <v>-1.5313373570359296E-2</v>
      </c>
      <c r="Y46">
        <v>-0.18277199999999999</v>
      </c>
    </row>
    <row r="47" spans="1:25" x14ac:dyDescent="0.3">
      <c r="A47">
        <v>2</v>
      </c>
      <c r="B47" s="1">
        <v>-3.7612399999999997E-2</v>
      </c>
      <c r="C47" s="1">
        <v>82980.399999999994</v>
      </c>
      <c r="D47">
        <f>C47-Equation_Sheet!$B$2</f>
        <v>-18344.600000000006</v>
      </c>
      <c r="H47">
        <f t="shared" si="3"/>
        <v>3.1422997934172185E-2</v>
      </c>
      <c r="I47" s="1">
        <f t="shared" si="1"/>
        <v>-0.36107675166942577</v>
      </c>
      <c r="Y47">
        <v>-0.21421299999999999</v>
      </c>
    </row>
    <row r="48" spans="1:25" x14ac:dyDescent="0.3">
      <c r="A48">
        <v>2</v>
      </c>
      <c r="B48" s="1">
        <v>-3.6096099999999999E-2</v>
      </c>
      <c r="C48" s="1">
        <v>74246</v>
      </c>
      <c r="D48">
        <f>C48-Equation_Sheet!$B$2</f>
        <v>-27079</v>
      </c>
      <c r="H48">
        <f t="shared" si="3"/>
        <v>4.2729315974725422E-2</v>
      </c>
      <c r="I48" s="1">
        <f t="shared" si="1"/>
        <v>-0.53299594204596323</v>
      </c>
      <c r="Y48">
        <v>-0.152221</v>
      </c>
    </row>
    <row r="49" spans="1:25" x14ac:dyDescent="0.3">
      <c r="A49">
        <v>2</v>
      </c>
      <c r="B49" s="1">
        <v>-3.4229799999999998E-2</v>
      </c>
      <c r="C49" s="1">
        <v>70436.5</v>
      </c>
      <c r="D49">
        <f>C49-Equation_Sheet!$B$2</f>
        <v>-30888.5</v>
      </c>
      <c r="H49">
        <f t="shared" si="3"/>
        <v>5.6451622674429172E-2</v>
      </c>
      <c r="I49" s="1">
        <f t="shared" si="1"/>
        <v>-0.60797832844221478</v>
      </c>
      <c r="Y49">
        <v>-0.12338200000000001</v>
      </c>
    </row>
    <row r="50" spans="1:25" x14ac:dyDescent="0.3">
      <c r="A50">
        <v>2</v>
      </c>
      <c r="B50" s="1">
        <v>-3.1964699999999999E-2</v>
      </c>
      <c r="C50" s="1">
        <v>67849.2</v>
      </c>
      <c r="D50">
        <f>C50-Equation_Sheet!$B$2</f>
        <v>-33475.800000000003</v>
      </c>
      <c r="H50">
        <f t="shared" si="3"/>
        <v>7.2921298624195011E-2</v>
      </c>
      <c r="I50" s="1">
        <f t="shared" si="1"/>
        <v>-0.65890415291341098</v>
      </c>
      <c r="Y50">
        <v>-9.6467600000000001E-2</v>
      </c>
    </row>
    <row r="51" spans="1:25" x14ac:dyDescent="0.3">
      <c r="A51">
        <v>2</v>
      </c>
      <c r="B51" s="1">
        <v>-2.9246100000000001E-2</v>
      </c>
      <c r="C51" s="1">
        <v>64923.5</v>
      </c>
      <c r="D51">
        <f>C51-Equation_Sheet!$B$2</f>
        <v>-36401.5</v>
      </c>
      <c r="H51">
        <f t="shared" si="3"/>
        <v>9.248971629701877E-2</v>
      </c>
      <c r="I51" s="1">
        <f t="shared" si="1"/>
        <v>-0.71649070439772999</v>
      </c>
      <c r="Y51">
        <v>-6.7501000000000005E-2</v>
      </c>
    </row>
    <row r="52" spans="1:25" x14ac:dyDescent="0.3">
      <c r="A52">
        <v>2</v>
      </c>
      <c r="B52" s="1">
        <v>-2.6016000000000001E-2</v>
      </c>
      <c r="C52" s="1">
        <v>61097.599999999999</v>
      </c>
      <c r="D52">
        <f>C52-Equation_Sheet!$B$2</f>
        <v>-40227.4</v>
      </c>
      <c r="H52">
        <f t="shared" si="3"/>
        <v>0.11550824816589626</v>
      </c>
      <c r="I52" s="1">
        <f t="shared" si="1"/>
        <v>-0.79179589198492495</v>
      </c>
      <c r="Y52">
        <v>-4.1398699999999997E-2</v>
      </c>
    </row>
    <row r="53" spans="1:25" x14ac:dyDescent="0.3">
      <c r="A53">
        <v>2</v>
      </c>
      <c r="B53" s="1">
        <v>-2.2216400000000001E-2</v>
      </c>
      <c r="C53" s="1">
        <v>60007.8</v>
      </c>
      <c r="D53">
        <f>C53-Equation_Sheet!$B$2</f>
        <v>-41317.199999999997</v>
      </c>
      <c r="H53">
        <f t="shared" si="3"/>
        <v>0.14230161086104429</v>
      </c>
      <c r="I53" s="1">
        <f t="shared" si="1"/>
        <v>-0.8132464247830965</v>
      </c>
      <c r="Y53">
        <v>-1.6093799999999998E-2</v>
      </c>
    </row>
    <row r="54" spans="1:25" x14ac:dyDescent="0.3">
      <c r="A54">
        <v>2</v>
      </c>
      <c r="B54" s="1">
        <v>-1.7793699999999999E-2</v>
      </c>
      <c r="C54" s="1">
        <v>59661.8</v>
      </c>
      <c r="D54">
        <f>C54-Equation_Sheet!$B$2</f>
        <v>-41663.199999999997</v>
      </c>
      <c r="H54">
        <f t="shared" si="3"/>
        <v>0.17313030466416665</v>
      </c>
      <c r="I54" s="1">
        <f t="shared" si="1"/>
        <v>-0.82005674259202233</v>
      </c>
      <c r="Y54">
        <v>1.6120300000000001E-2</v>
      </c>
    </row>
    <row r="55" spans="1:25" x14ac:dyDescent="0.3">
      <c r="A55">
        <v>2</v>
      </c>
      <c r="B55" s="1">
        <v>-1.27049E-2</v>
      </c>
      <c r="C55" s="1">
        <v>60114.7</v>
      </c>
      <c r="D55">
        <f>C55-Equation_Sheet!$B$2</f>
        <v>-41210.300000000003</v>
      </c>
      <c r="H55">
        <f t="shared" si="3"/>
        <v>0.20815583974991972</v>
      </c>
      <c r="I55" s="1">
        <f t="shared" si="1"/>
        <v>-0.81114231214213084</v>
      </c>
      <c r="Y55">
        <v>0.18335199999999999</v>
      </c>
    </row>
    <row r="56" spans="1:25" x14ac:dyDescent="0.3">
      <c r="A56">
        <v>2</v>
      </c>
      <c r="B56" s="1">
        <v>-6.92334E-3</v>
      </c>
      <c r="C56" s="1">
        <v>63507.8</v>
      </c>
      <c r="D56">
        <f>C56-Equation_Sheet!$B$2</f>
        <v>-37817.199999999997</v>
      </c>
      <c r="H56">
        <f t="shared" si="3"/>
        <v>0.2473920044587955</v>
      </c>
      <c r="I56" s="1">
        <f t="shared" si="1"/>
        <v>-0.74435592671592743</v>
      </c>
      <c r="Y56">
        <v>0.151951</v>
      </c>
    </row>
    <row r="57" spans="1:25" x14ac:dyDescent="0.3">
      <c r="A57">
        <v>2</v>
      </c>
      <c r="B57" s="1">
        <v>-4.46744E-4</v>
      </c>
      <c r="C57" s="1">
        <v>72656.7</v>
      </c>
      <c r="D57">
        <f>C57-Equation_Sheet!$B$2</f>
        <v>-28668.300000000003</v>
      </c>
      <c r="H57">
        <f t="shared" si="3"/>
        <v>0.29066881932790922</v>
      </c>
      <c r="I57" s="1">
        <f t="shared" si="1"/>
        <v>-0.56427813306829233</v>
      </c>
      <c r="Y57">
        <v>0.32666099999999998</v>
      </c>
    </row>
    <row r="58" spans="1:25" x14ac:dyDescent="0.3">
      <c r="A58">
        <v>2</v>
      </c>
      <c r="B58" s="1">
        <v>6.69683E-3</v>
      </c>
      <c r="C58" s="1">
        <v>80593.7</v>
      </c>
      <c r="D58">
        <f>C58-Equation_Sheet!$B$2</f>
        <v>-20731.300000000003</v>
      </c>
      <c r="H58">
        <f t="shared" si="3"/>
        <v>0.33760230694202953</v>
      </c>
      <c r="I58" s="1">
        <f t="shared" si="1"/>
        <v>-0.40805416645140069</v>
      </c>
      <c r="Y58">
        <v>0.27354600000000001</v>
      </c>
    </row>
    <row r="59" spans="1:25" x14ac:dyDescent="0.3">
      <c r="A59">
        <v>2</v>
      </c>
      <c r="B59" s="1">
        <v>1.4444E-2</v>
      </c>
      <c r="C59" s="1">
        <v>83247.399999999994</v>
      </c>
      <c r="D59">
        <f>C59-Equation_Sheet!$B$2</f>
        <v>-18077.600000000006</v>
      </c>
      <c r="H59">
        <f t="shared" si="3"/>
        <v>0.38758322378185822</v>
      </c>
      <c r="I59" s="1">
        <f t="shared" si="1"/>
        <v>-0.35582139081687314</v>
      </c>
      <c r="Y59">
        <v>0.45625500000000002</v>
      </c>
    </row>
    <row r="60" spans="1:25" x14ac:dyDescent="0.3">
      <c r="A60">
        <v>2</v>
      </c>
      <c r="B60" s="1">
        <v>2.2694200000000001E-2</v>
      </c>
      <c r="C60" s="1">
        <v>85439.8</v>
      </c>
      <c r="D60">
        <f>C60-Equation_Sheet!$B$2</f>
        <v>-15885.199999999997</v>
      </c>
      <c r="H60">
        <f t="shared" si="3"/>
        <v>0.43979475001060175</v>
      </c>
      <c r="I60" s="1">
        <f t="shared" si="1"/>
        <v>-0.31266838282759829</v>
      </c>
      <c r="Y60">
        <v>4.2257299999999998E-2</v>
      </c>
    </row>
    <row r="61" spans="1:25" x14ac:dyDescent="0.3">
      <c r="A61">
        <v>2</v>
      </c>
      <c r="B61" s="1">
        <v>3.1312600000000003E-2</v>
      </c>
      <c r="C61" s="1">
        <v>87450.8</v>
      </c>
      <c r="D61">
        <f>C61-Equation_Sheet!$B$2</f>
        <v>-13874.199999999997</v>
      </c>
      <c r="H61">
        <f t="shared" si="3"/>
        <v>0.49325061944543724</v>
      </c>
      <c r="I61" s="1">
        <f t="shared" si="1"/>
        <v>-0.27308587093814768</v>
      </c>
      <c r="Y61">
        <v>7.1071099999999998E-2</v>
      </c>
    </row>
    <row r="62" spans="1:25" x14ac:dyDescent="0.3">
      <c r="A62">
        <v>2</v>
      </c>
      <c r="B62" s="1">
        <v>4.0136400000000003E-2</v>
      </c>
      <c r="C62" s="1">
        <v>89639.1</v>
      </c>
      <c r="D62">
        <f>C62-Equation_Sheet!$B$2</f>
        <v>-11685.899999999994</v>
      </c>
      <c r="H62">
        <f t="shared" si="3"/>
        <v>0.54686763556616391</v>
      </c>
      <c r="I62" s="1">
        <f t="shared" si="1"/>
        <v>-0.23001356324660877</v>
      </c>
      <c r="Y62">
        <v>0.107153</v>
      </c>
    </row>
    <row r="63" spans="1:25" x14ac:dyDescent="0.3">
      <c r="A63">
        <v>2</v>
      </c>
      <c r="B63" s="1">
        <v>4.8986799999999997E-2</v>
      </c>
      <c r="C63" s="1">
        <v>91354.4</v>
      </c>
      <c r="D63">
        <f>C63-Equation_Sheet!$B$2</f>
        <v>-9970.6000000000058</v>
      </c>
      <c r="H63">
        <f t="shared" si="3"/>
        <v>0.59954685067275715</v>
      </c>
      <c r="I63" s="1">
        <f t="shared" si="1"/>
        <v>-0.19625131429386181</v>
      </c>
      <c r="Y63">
        <v>-0.105338</v>
      </c>
    </row>
    <row r="64" spans="1:25" x14ac:dyDescent="0.3">
      <c r="A64">
        <v>2</v>
      </c>
      <c r="B64" s="1">
        <v>5.7682400000000002E-2</v>
      </c>
      <c r="C64" s="1">
        <v>93021</v>
      </c>
      <c r="D64">
        <f>C64-Equation_Sheet!$B$2</f>
        <v>-8304</v>
      </c>
      <c r="H64">
        <f t="shared" si="3"/>
        <v>0.6502632264474425</v>
      </c>
      <c r="I64" s="1">
        <f t="shared" si="1"/>
        <v>-0.16344762741422056</v>
      </c>
      <c r="Y64">
        <v>-0.130851</v>
      </c>
    </row>
    <row r="65" spans="1:25" x14ac:dyDescent="0.3">
      <c r="A65">
        <v>2</v>
      </c>
      <c r="B65" s="1">
        <v>6.6054000000000002E-2</v>
      </c>
      <c r="C65" s="1">
        <v>94594.2</v>
      </c>
      <c r="D65">
        <f>C65-Equation_Sheet!$B$2</f>
        <v>-6730.8000000000029</v>
      </c>
      <c r="H65">
        <f t="shared" si="3"/>
        <v>0.69813954333694794</v>
      </c>
      <c r="I65" s="1">
        <f t="shared" si="1"/>
        <v>-0.1324823326830005</v>
      </c>
      <c r="Y65">
        <v>-0.157029</v>
      </c>
    </row>
    <row r="66" spans="1:25" x14ac:dyDescent="0.3">
      <c r="A66">
        <v>2</v>
      </c>
      <c r="B66" s="1">
        <v>7.3956800000000003E-2</v>
      </c>
      <c r="C66" s="1">
        <v>96062.5</v>
      </c>
      <c r="D66">
        <f>C66-Equation_Sheet!$B$2</f>
        <v>-5262.5</v>
      </c>
      <c r="H66">
        <f t="shared" si="3"/>
        <v>0.74250031805266947</v>
      </c>
      <c r="I66" s="1">
        <f t="shared" si="1"/>
        <v>-0.10358178459385065</v>
      </c>
      <c r="Y66">
        <v>-0.18318699999999999</v>
      </c>
    </row>
    <row r="67" spans="1:25" x14ac:dyDescent="0.3">
      <c r="A67">
        <v>2</v>
      </c>
      <c r="B67" s="1">
        <v>8.1279299999999999E-2</v>
      </c>
      <c r="C67" s="1">
        <v>97642.7</v>
      </c>
      <c r="D67">
        <f>C67-Equation_Sheet!$B$2</f>
        <v>-3682.3000000000029</v>
      </c>
      <c r="H67">
        <f t="shared" si="3"/>
        <v>0.78289967104266733</v>
      </c>
      <c r="I67" s="1">
        <f t="shared" ref="I67:I79" si="4">D67/$T$2</f>
        <v>-7.2478708866496253E-2</v>
      </c>
      <c r="Y67">
        <v>-0.206896</v>
      </c>
    </row>
    <row r="68" spans="1:25" x14ac:dyDescent="0.3">
      <c r="A68">
        <v>2</v>
      </c>
      <c r="B68" s="1">
        <v>8.7947899999999996E-2</v>
      </c>
      <c r="C68" s="1">
        <v>99066.6</v>
      </c>
      <c r="D68">
        <f>C68-Equation_Sheet!$B$2</f>
        <v>-2258.3999999999942</v>
      </c>
      <c r="H68">
        <f t="shared" si="3"/>
        <v>0.81911345090175502</v>
      </c>
      <c r="I68" s="1">
        <f t="shared" si="4"/>
        <v>-4.4452085952826924E-2</v>
      </c>
      <c r="Y68">
        <v>-0.23216600000000001</v>
      </c>
    </row>
    <row r="69" spans="1:25" x14ac:dyDescent="0.3">
      <c r="A69">
        <v>2</v>
      </c>
      <c r="B69" s="1">
        <v>9.3925599999999998E-2</v>
      </c>
      <c r="C69" s="1">
        <v>100447</v>
      </c>
      <c r="D69">
        <f>C69-Equation_Sheet!$B$2</f>
        <v>-878</v>
      </c>
      <c r="H69">
        <f t="shared" si="3"/>
        <v>0.85111681923097871</v>
      </c>
      <c r="I69" s="1">
        <f t="shared" si="4"/>
        <v>-1.7281673515135557E-2</v>
      </c>
      <c r="Y69">
        <v>-0.26059500000000002</v>
      </c>
    </row>
    <row r="70" spans="1:25" x14ac:dyDescent="0.3">
      <c r="A70">
        <v>2</v>
      </c>
      <c r="B70" s="1">
        <v>9.9208299999999999E-2</v>
      </c>
      <c r="C70" s="1">
        <v>102204</v>
      </c>
      <c r="D70">
        <f>C70-Equation_Sheet!$B$2</f>
        <v>879</v>
      </c>
      <c r="H70">
        <f t="shared" si="3"/>
        <v>0.87904911339032021</v>
      </c>
      <c r="I70" s="1">
        <f t="shared" si="4"/>
        <v>1.7301356514583317E-2</v>
      </c>
      <c r="Y70">
        <v>-0.28682400000000002</v>
      </c>
    </row>
    <row r="71" spans="1:25" x14ac:dyDescent="0.3">
      <c r="A71">
        <v>2</v>
      </c>
      <c r="B71" s="1">
        <v>0.10381899999999999</v>
      </c>
      <c r="C71" s="1">
        <v>103630</v>
      </c>
      <c r="D71">
        <f>C71-Equation_Sheet!$B$2</f>
        <v>2305</v>
      </c>
      <c r="H71">
        <f t="shared" si="3"/>
        <v>0.9031544766670504</v>
      </c>
      <c r="I71" s="1">
        <f t="shared" si="4"/>
        <v>4.5369313727092776E-2</v>
      </c>
      <c r="Y71">
        <v>-0.28953600000000002</v>
      </c>
    </row>
    <row r="72" spans="1:25" x14ac:dyDescent="0.3">
      <c r="A72">
        <v>2</v>
      </c>
      <c r="B72" s="1">
        <v>0.107798</v>
      </c>
      <c r="C72" s="1">
        <v>105202</v>
      </c>
      <c r="D72">
        <f>C72-Equation_Sheet!$B$2</f>
        <v>3877</v>
      </c>
      <c r="H72">
        <f t="shared" si="3"/>
        <v>0.9237703477981668</v>
      </c>
      <c r="I72" s="1">
        <f t="shared" si="4"/>
        <v>7.6310988858975567E-2</v>
      </c>
      <c r="Y72">
        <v>-0.28238099999999999</v>
      </c>
    </row>
    <row r="73" spans="1:25" x14ac:dyDescent="0.3">
      <c r="A73">
        <v>2</v>
      </c>
      <c r="B73" s="1">
        <v>0.11120099999999999</v>
      </c>
      <c r="C73" s="1">
        <v>107170</v>
      </c>
      <c r="D73">
        <f>C73-Equation_Sheet!$B$2</f>
        <v>5845</v>
      </c>
      <c r="H73">
        <f t="shared" si="3"/>
        <v>0.94125415740275153</v>
      </c>
      <c r="I73" s="1">
        <f t="shared" si="4"/>
        <v>0.11504713177217235</v>
      </c>
      <c r="Y73">
        <v>-0.380025</v>
      </c>
    </row>
    <row r="74" spans="1:25" x14ac:dyDescent="0.3">
      <c r="A74">
        <v>2</v>
      </c>
      <c r="B74" s="1">
        <v>0.11408699999999999</v>
      </c>
      <c r="C74" s="1">
        <v>109614</v>
      </c>
      <c r="D74">
        <f>C74-Equation_Sheet!$B$2</f>
        <v>8289</v>
      </c>
      <c r="H74">
        <f t="shared" si="3"/>
        <v>0.95597545239205883</v>
      </c>
      <c r="I74" s="1">
        <f t="shared" si="4"/>
        <v>0.16315238242250413</v>
      </c>
      <c r="Y74">
        <v>-0.33138099999999998</v>
      </c>
    </row>
    <row r="75" spans="1:25" x14ac:dyDescent="0.3">
      <c r="A75">
        <v>2</v>
      </c>
      <c r="B75" s="1">
        <v>0.116517</v>
      </c>
      <c r="C75" s="1">
        <v>111327</v>
      </c>
      <c r="D75">
        <f>C75-Equation_Sheet!$B$2</f>
        <v>10002</v>
      </c>
      <c r="H75">
        <f t="shared" si="3"/>
        <v>0.96830983782342916</v>
      </c>
      <c r="I75" s="1">
        <f t="shared" si="4"/>
        <v>0.19686936047652145</v>
      </c>
      <c r="Y75">
        <v>-0.29119200000000001</v>
      </c>
    </row>
    <row r="76" spans="1:25" x14ac:dyDescent="0.3">
      <c r="A76">
        <v>2</v>
      </c>
      <c r="B76" s="1">
        <v>0.11855300000000001</v>
      </c>
      <c r="C76" s="1">
        <v>119145</v>
      </c>
      <c r="D76">
        <f>C76-Equation_Sheet!$B$2</f>
        <v>17820</v>
      </c>
      <c r="H76">
        <f t="shared" si="3"/>
        <v>0.97858445358551371</v>
      </c>
      <c r="I76" s="1">
        <f t="shared" si="4"/>
        <v>0.35075105015912938</v>
      </c>
      <c r="Y76">
        <v>-0.25432900000000003</v>
      </c>
    </row>
    <row r="77" spans="1:25" x14ac:dyDescent="0.3">
      <c r="A77">
        <v>2</v>
      </c>
      <c r="B77" s="1">
        <v>0.12024899999999999</v>
      </c>
      <c r="C77" s="1">
        <v>116248</v>
      </c>
      <c r="D77">
        <f>C77-Equation_Sheet!$B$2</f>
        <v>14923</v>
      </c>
      <c r="H77">
        <f t="shared" si="3"/>
        <v>0.98712038142087744</v>
      </c>
      <c r="I77" s="1">
        <f t="shared" si="4"/>
        <v>0.29372940075896115</v>
      </c>
      <c r="Y77">
        <v>0.93274500000000005</v>
      </c>
    </row>
    <row r="78" spans="1:25" x14ac:dyDescent="0.3">
      <c r="A78">
        <v>2</v>
      </c>
      <c r="B78" s="1">
        <v>0.121658</v>
      </c>
      <c r="C78" s="1">
        <v>126215</v>
      </c>
      <c r="D78">
        <f>C78-Equation_Sheet!$B$2</f>
        <v>24890</v>
      </c>
      <c r="H78">
        <f t="shared" si="3"/>
        <v>0.99417206346513831</v>
      </c>
      <c r="I78" s="1">
        <f t="shared" si="4"/>
        <v>0.48990985625481093</v>
      </c>
      <c r="Y78">
        <v>0.49957600000000002</v>
      </c>
    </row>
    <row r="79" spans="1:25" x14ac:dyDescent="0.3">
      <c r="A79">
        <v>2</v>
      </c>
      <c r="B79" s="1">
        <v>0.122822</v>
      </c>
      <c r="C79" s="1">
        <v>144518</v>
      </c>
      <c r="D79">
        <f>C79-Equation_Sheet!$B$2</f>
        <v>43193</v>
      </c>
      <c r="H79">
        <f t="shared" si="3"/>
        <v>1</v>
      </c>
      <c r="I79" s="1">
        <f t="shared" si="4"/>
        <v>0.85016779514720964</v>
      </c>
      <c r="Y79">
        <v>0.31781799999999999</v>
      </c>
    </row>
    <row r="80" spans="1:25" x14ac:dyDescent="0.3">
      <c r="A80">
        <v>2</v>
      </c>
      <c r="B80" s="1">
        <v>0.12378400000000001</v>
      </c>
      <c r="C80" s="1">
        <v>101204</v>
      </c>
      <c r="D80">
        <f>C80-Equation_Sheet!$B$2</f>
        <v>-121</v>
      </c>
    </row>
  </sheetData>
  <sortState xmlns:xlrd2="http://schemas.microsoft.com/office/spreadsheetml/2017/richdata2" ref="A2:C80">
    <sortCondition ref="A1:A80"/>
  </sortState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5D61A-A014-41C0-95F8-7A52C4721724}">
  <dimension ref="A1:AE2"/>
  <sheetViews>
    <sheetView workbookViewId="0"/>
  </sheetViews>
  <sheetFormatPr defaultRowHeight="16.5" x14ac:dyDescent="0.3"/>
  <cols>
    <col min="1" max="31" width="9" style="2"/>
  </cols>
  <sheetData>
    <row r="1" spans="1:5" x14ac:dyDescent="0.3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</row>
    <row r="2" spans="1:5" x14ac:dyDescent="0.3">
      <c r="A2" s="2">
        <v>1.143</v>
      </c>
      <c r="B2" s="2">
        <v>101325</v>
      </c>
      <c r="C2" s="2">
        <v>288.14999999999998</v>
      </c>
      <c r="D2" s="2">
        <f>(2500*2*PI())/60</f>
        <v>261.79938779914943</v>
      </c>
      <c r="E2" s="2">
        <f>B2/(287*C2)</f>
        <v>1.2252256827617731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3CD70-DF94-492F-BD9C-8635F67A3980}">
  <dimension ref="A2:U37"/>
  <sheetViews>
    <sheetView workbookViewId="0"/>
  </sheetViews>
  <sheetFormatPr defaultRowHeight="16.5" x14ac:dyDescent="0.3"/>
  <sheetData>
    <row r="2" spans="1:21" ht="17.25" thickBot="1" x14ac:dyDescent="0.35"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21" ht="17.25" thickBot="1" x14ac:dyDescent="0.35">
      <c r="A3" t="s">
        <v>13</v>
      </c>
      <c r="B3" s="9" t="s">
        <v>10</v>
      </c>
      <c r="C3" s="10"/>
      <c r="D3" s="9" t="s">
        <v>10</v>
      </c>
      <c r="E3" s="10"/>
      <c r="F3" s="9" t="s">
        <v>10</v>
      </c>
      <c r="G3" s="11"/>
      <c r="H3" s="9" t="s">
        <v>10</v>
      </c>
      <c r="I3" s="11"/>
      <c r="J3" s="9" t="s">
        <v>11</v>
      </c>
      <c r="K3" s="11"/>
      <c r="L3" s="12"/>
    </row>
    <row r="4" spans="1:21" x14ac:dyDescent="0.3">
      <c r="B4" s="3">
        <v>0</v>
      </c>
      <c r="C4" s="4">
        <v>-0.91379999999999995</v>
      </c>
      <c r="D4" s="3">
        <v>0.02</v>
      </c>
      <c r="E4" s="4">
        <v>-0.94159999999999999</v>
      </c>
      <c r="F4" s="3">
        <v>0</v>
      </c>
      <c r="G4" s="13">
        <v>0.18529999999999999</v>
      </c>
      <c r="H4" s="3">
        <v>0.01</v>
      </c>
      <c r="I4" s="13">
        <v>-0.44450000000000001</v>
      </c>
      <c r="J4" s="3">
        <v>0</v>
      </c>
      <c r="K4" s="13">
        <v>1.0920000000000001</v>
      </c>
      <c r="L4" s="1"/>
      <c r="M4">
        <f>C4*(-1)</f>
        <v>0.91379999999999995</v>
      </c>
      <c r="O4">
        <f t="shared" ref="O4:U19" si="0">E4*(-1)</f>
        <v>0.94159999999999999</v>
      </c>
      <c r="Q4">
        <f t="shared" si="0"/>
        <v>-0.18529999999999999</v>
      </c>
      <c r="S4">
        <f t="shared" si="0"/>
        <v>0.44450000000000001</v>
      </c>
      <c r="U4">
        <f t="shared" si="0"/>
        <v>-1.0920000000000001</v>
      </c>
    </row>
    <row r="5" spans="1:21" x14ac:dyDescent="0.3">
      <c r="B5" s="5">
        <v>0.03</v>
      </c>
      <c r="C5" s="6">
        <v>-0.86909999999999998</v>
      </c>
      <c r="D5" s="5">
        <v>0.06</v>
      </c>
      <c r="E5" s="6">
        <v>-0.93979999999999997</v>
      </c>
      <c r="F5" s="5">
        <v>0.03</v>
      </c>
      <c r="G5" s="14">
        <v>-0.48320000000000002</v>
      </c>
      <c r="H5" s="5">
        <v>0.04</v>
      </c>
      <c r="I5" s="14">
        <v>-0.85350000000000004</v>
      </c>
      <c r="J5" s="5">
        <v>0.02</v>
      </c>
      <c r="K5" s="14">
        <v>-0.49940000000000001</v>
      </c>
      <c r="L5" s="1"/>
      <c r="M5">
        <f t="shared" ref="M5:M28" si="1">C5*(-1)</f>
        <v>0.86909999999999998</v>
      </c>
      <c r="O5">
        <f t="shared" si="0"/>
        <v>0.93979999999999997</v>
      </c>
      <c r="Q5">
        <f t="shared" si="0"/>
        <v>0.48320000000000002</v>
      </c>
      <c r="S5">
        <f t="shared" si="0"/>
        <v>0.85350000000000004</v>
      </c>
      <c r="U5">
        <f t="shared" si="0"/>
        <v>0.49940000000000001</v>
      </c>
    </row>
    <row r="6" spans="1:21" x14ac:dyDescent="0.3">
      <c r="B6" s="5">
        <v>0.12</v>
      </c>
      <c r="C6" s="6">
        <v>-0.71340000000000003</v>
      </c>
      <c r="D6" s="5">
        <v>0.1</v>
      </c>
      <c r="E6" s="6">
        <v>-0.91080000000000005</v>
      </c>
      <c r="F6" s="5">
        <v>0.04</v>
      </c>
      <c r="G6" s="14">
        <v>-1.153</v>
      </c>
      <c r="H6" s="5">
        <v>0.08</v>
      </c>
      <c r="I6" s="14">
        <v>-0.91710000000000003</v>
      </c>
      <c r="J6" s="5">
        <v>7.0000000000000007E-2</v>
      </c>
      <c r="K6" s="14">
        <v>-0.8911</v>
      </c>
      <c r="L6" s="1"/>
      <c r="M6">
        <f t="shared" si="1"/>
        <v>0.71340000000000003</v>
      </c>
      <c r="O6">
        <f t="shared" si="0"/>
        <v>0.91080000000000005</v>
      </c>
      <c r="Q6">
        <f t="shared" si="0"/>
        <v>1.153</v>
      </c>
      <c r="S6">
        <f t="shared" si="0"/>
        <v>0.91710000000000003</v>
      </c>
      <c r="U6">
        <f t="shared" si="0"/>
        <v>0.8911</v>
      </c>
    </row>
    <row r="7" spans="1:21" x14ac:dyDescent="0.3">
      <c r="B7" s="5">
        <v>0.2</v>
      </c>
      <c r="C7" s="6">
        <v>-0.53169999999999995</v>
      </c>
      <c r="D7" s="5">
        <v>0.15</v>
      </c>
      <c r="E7" s="6">
        <v>-0.87250000000000005</v>
      </c>
      <c r="F7" s="5">
        <v>7.0000000000000007E-2</v>
      </c>
      <c r="G7" s="14">
        <v>-1.1950000000000001</v>
      </c>
      <c r="H7" s="5">
        <v>0.1</v>
      </c>
      <c r="I7" s="14">
        <v>-0.92349999999999999</v>
      </c>
      <c r="J7" s="5">
        <v>0.09</v>
      </c>
      <c r="K7" s="14">
        <v>-0.97719999999999996</v>
      </c>
      <c r="L7" s="1"/>
      <c r="M7">
        <f t="shared" si="1"/>
        <v>0.53169999999999995</v>
      </c>
      <c r="O7">
        <f t="shared" si="0"/>
        <v>0.87250000000000005</v>
      </c>
      <c r="Q7">
        <f t="shared" si="0"/>
        <v>1.1950000000000001</v>
      </c>
      <c r="S7">
        <f t="shared" si="0"/>
        <v>0.92349999999999999</v>
      </c>
      <c r="U7">
        <f t="shared" si="0"/>
        <v>0.97719999999999996</v>
      </c>
    </row>
    <row r="8" spans="1:21" x14ac:dyDescent="0.3">
      <c r="B8" s="5">
        <v>0.47</v>
      </c>
      <c r="C8" s="6">
        <v>-0.35170000000000001</v>
      </c>
      <c r="D8" s="5">
        <v>0.19</v>
      </c>
      <c r="E8" s="6">
        <v>-0.72540000000000004</v>
      </c>
      <c r="F8" s="5">
        <v>0.13</v>
      </c>
      <c r="G8" s="14">
        <v>-1.1559999999999999</v>
      </c>
      <c r="H8" s="5">
        <v>0.13</v>
      </c>
      <c r="I8" s="14">
        <v>-1.046</v>
      </c>
      <c r="J8" s="5">
        <v>0.15</v>
      </c>
      <c r="K8" s="14">
        <v>-1.0620000000000001</v>
      </c>
      <c r="L8" s="1"/>
      <c r="M8">
        <f t="shared" si="1"/>
        <v>0.35170000000000001</v>
      </c>
      <c r="O8">
        <f t="shared" si="0"/>
        <v>0.72540000000000004</v>
      </c>
      <c r="Q8">
        <f t="shared" si="0"/>
        <v>1.1559999999999999</v>
      </c>
      <c r="S8">
        <f t="shared" si="0"/>
        <v>1.046</v>
      </c>
      <c r="U8">
        <f t="shared" si="0"/>
        <v>1.0620000000000001</v>
      </c>
    </row>
    <row r="9" spans="1:21" x14ac:dyDescent="0.3">
      <c r="B9" s="5">
        <v>0.69</v>
      </c>
      <c r="C9" s="6">
        <v>-0.20549999999999999</v>
      </c>
      <c r="D9" s="5">
        <v>0.23</v>
      </c>
      <c r="E9" s="6">
        <v>-0.64880000000000004</v>
      </c>
      <c r="F9" s="5">
        <v>0.17</v>
      </c>
      <c r="G9" s="14">
        <v>-1.17</v>
      </c>
      <c r="H9" s="5">
        <v>0.17</v>
      </c>
      <c r="I9" s="14">
        <v>-1.1160000000000001</v>
      </c>
      <c r="J9" s="5">
        <v>0.19</v>
      </c>
      <c r="K9" s="14">
        <v>-1.028</v>
      </c>
      <c r="L9" s="15"/>
      <c r="M9">
        <f t="shared" si="1"/>
        <v>0.20549999999999999</v>
      </c>
      <c r="O9">
        <f t="shared" si="0"/>
        <v>0.64880000000000004</v>
      </c>
      <c r="Q9">
        <f t="shared" si="0"/>
        <v>1.17</v>
      </c>
      <c r="S9">
        <f t="shared" si="0"/>
        <v>1.1160000000000001</v>
      </c>
      <c r="U9">
        <f t="shared" si="0"/>
        <v>1.028</v>
      </c>
    </row>
    <row r="10" spans="1:21" ht="17.25" thickBot="1" x14ac:dyDescent="0.35">
      <c r="B10" s="7">
        <v>0.83</v>
      </c>
      <c r="C10" s="8">
        <v>-8.7359999999999993E-2</v>
      </c>
      <c r="D10" s="5">
        <v>0.28999999999999998</v>
      </c>
      <c r="E10" s="6">
        <v>-0.58340000000000003</v>
      </c>
      <c r="F10" s="5">
        <v>0.21</v>
      </c>
      <c r="G10" s="14">
        <v>-1.0609999999999999</v>
      </c>
      <c r="H10" s="5">
        <v>0.21</v>
      </c>
      <c r="I10" s="14">
        <v>-1.208</v>
      </c>
      <c r="J10" s="5">
        <v>0.27</v>
      </c>
      <c r="K10" s="14">
        <v>-1.0820000000000001</v>
      </c>
      <c r="L10" s="1"/>
      <c r="M10">
        <f t="shared" si="1"/>
        <v>8.7359999999999993E-2</v>
      </c>
      <c r="O10">
        <f t="shared" si="0"/>
        <v>0.58340000000000003</v>
      </c>
      <c r="Q10">
        <f t="shared" si="0"/>
        <v>1.0609999999999999</v>
      </c>
      <c r="S10">
        <f t="shared" si="0"/>
        <v>1.208</v>
      </c>
      <c r="U10">
        <f t="shared" si="0"/>
        <v>1.0820000000000001</v>
      </c>
    </row>
    <row r="11" spans="1:21" x14ac:dyDescent="0.3">
      <c r="B11" s="16"/>
      <c r="C11" s="17"/>
      <c r="D11" s="5">
        <v>0.33</v>
      </c>
      <c r="E11" s="6">
        <v>-0.53069999999999995</v>
      </c>
      <c r="F11" s="5">
        <v>0.26</v>
      </c>
      <c r="G11" s="14">
        <v>-0.78390000000000004</v>
      </c>
      <c r="H11" s="5">
        <v>0.28999999999999998</v>
      </c>
      <c r="I11" s="14">
        <v>-0.94720000000000004</v>
      </c>
      <c r="J11" s="5">
        <v>0.33</v>
      </c>
      <c r="K11" s="14">
        <v>-0.66059999999999997</v>
      </c>
      <c r="L11" s="1"/>
      <c r="O11">
        <f t="shared" si="0"/>
        <v>0.53069999999999995</v>
      </c>
      <c r="Q11">
        <f t="shared" si="0"/>
        <v>0.78390000000000004</v>
      </c>
      <c r="S11">
        <f t="shared" si="0"/>
        <v>0.94720000000000004</v>
      </c>
      <c r="U11">
        <f t="shared" si="0"/>
        <v>0.66059999999999997</v>
      </c>
    </row>
    <row r="12" spans="1:21" x14ac:dyDescent="0.3">
      <c r="B12" s="1"/>
      <c r="C12" s="18"/>
      <c r="D12" s="5">
        <v>0.34</v>
      </c>
      <c r="E12" s="6">
        <v>-0.41830000000000001</v>
      </c>
      <c r="F12" s="5">
        <v>0.3</v>
      </c>
      <c r="G12" s="14">
        <v>-0.73929999999999996</v>
      </c>
      <c r="H12" s="5">
        <v>0.3</v>
      </c>
      <c r="I12" s="14">
        <v>-1.127</v>
      </c>
      <c r="J12" s="5">
        <v>0.39</v>
      </c>
      <c r="K12" s="14">
        <v>-0.22370000000000001</v>
      </c>
      <c r="L12" s="1"/>
      <c r="O12">
        <f t="shared" si="0"/>
        <v>0.41830000000000001</v>
      </c>
      <c r="Q12">
        <f t="shared" si="0"/>
        <v>0.73929999999999996</v>
      </c>
      <c r="S12">
        <f t="shared" si="0"/>
        <v>1.127</v>
      </c>
      <c r="U12">
        <f t="shared" si="0"/>
        <v>0.22370000000000001</v>
      </c>
    </row>
    <row r="13" spans="1:21" x14ac:dyDescent="0.3">
      <c r="B13" s="1"/>
      <c r="C13" s="18"/>
      <c r="D13" s="5">
        <v>0.44</v>
      </c>
      <c r="E13" s="6">
        <v>-0.39369999999999999</v>
      </c>
      <c r="F13" s="5">
        <v>0.35</v>
      </c>
      <c r="G13" s="14">
        <v>-0.49280000000000002</v>
      </c>
      <c r="H13" s="5">
        <v>0.34</v>
      </c>
      <c r="I13" s="14">
        <v>-1.0349999999999999</v>
      </c>
      <c r="J13" s="5">
        <v>0.44</v>
      </c>
      <c r="K13" s="14">
        <v>-0.19470000000000001</v>
      </c>
      <c r="L13" s="1"/>
      <c r="O13">
        <f t="shared" si="0"/>
        <v>0.39369999999999999</v>
      </c>
      <c r="Q13">
        <f t="shared" si="0"/>
        <v>0.49280000000000002</v>
      </c>
      <c r="S13">
        <f t="shared" si="0"/>
        <v>1.0349999999999999</v>
      </c>
      <c r="U13">
        <f t="shared" si="0"/>
        <v>0.19470000000000001</v>
      </c>
    </row>
    <row r="14" spans="1:21" x14ac:dyDescent="0.3">
      <c r="B14" s="1"/>
      <c r="C14" s="18"/>
      <c r="D14" s="5">
        <v>0.52</v>
      </c>
      <c r="E14" s="6">
        <v>-0.32350000000000001</v>
      </c>
      <c r="F14" s="5">
        <v>0.4</v>
      </c>
      <c r="G14" s="14">
        <v>-0.32019999999999998</v>
      </c>
      <c r="H14" s="5">
        <v>0.4</v>
      </c>
      <c r="I14" s="14">
        <v>-0.57709999999999995</v>
      </c>
      <c r="J14" s="5">
        <v>0.49</v>
      </c>
      <c r="K14" s="14">
        <v>-0.1394</v>
      </c>
      <c r="L14" s="1"/>
      <c r="O14">
        <f t="shared" si="0"/>
        <v>0.32350000000000001</v>
      </c>
      <c r="Q14">
        <f t="shared" si="0"/>
        <v>0.32019999999999998</v>
      </c>
      <c r="S14">
        <f t="shared" si="0"/>
        <v>0.57709999999999995</v>
      </c>
      <c r="U14">
        <f t="shared" si="0"/>
        <v>0.1394</v>
      </c>
    </row>
    <row r="15" spans="1:21" x14ac:dyDescent="0.3">
      <c r="B15" s="1"/>
      <c r="C15" s="18"/>
      <c r="D15" s="5">
        <v>0.61</v>
      </c>
      <c r="E15" s="6">
        <v>-0.2215</v>
      </c>
      <c r="F15" s="5">
        <v>0.5</v>
      </c>
      <c r="G15" s="14">
        <v>-0.25840000000000002</v>
      </c>
      <c r="H15" s="5">
        <v>0.44</v>
      </c>
      <c r="I15" s="14">
        <v>-0.37540000000000001</v>
      </c>
      <c r="J15" s="5">
        <v>0.51</v>
      </c>
      <c r="K15" s="14">
        <v>-0.1174</v>
      </c>
      <c r="L15" s="1"/>
      <c r="O15">
        <f t="shared" si="0"/>
        <v>0.2215</v>
      </c>
      <c r="Q15">
        <f t="shared" si="0"/>
        <v>0.25840000000000002</v>
      </c>
      <c r="S15">
        <f t="shared" si="0"/>
        <v>0.37540000000000001</v>
      </c>
      <c r="U15">
        <f t="shared" si="0"/>
        <v>0.1174</v>
      </c>
    </row>
    <row r="16" spans="1:21" x14ac:dyDescent="0.3">
      <c r="B16" s="1"/>
      <c r="C16" s="18"/>
      <c r="D16" s="5">
        <v>0.73</v>
      </c>
      <c r="E16" s="6">
        <v>-0.1338</v>
      </c>
      <c r="F16" s="5">
        <v>0.56000000000000005</v>
      </c>
      <c r="G16" s="14">
        <v>-0.17480000000000001</v>
      </c>
      <c r="H16" s="5">
        <v>0.47</v>
      </c>
      <c r="I16" s="14">
        <v>-0.21110000000000001</v>
      </c>
      <c r="J16" s="5">
        <v>0.61</v>
      </c>
      <c r="K16" s="14">
        <v>-0.65269999999999995</v>
      </c>
      <c r="L16" s="1"/>
      <c r="O16">
        <f t="shared" si="0"/>
        <v>0.1338</v>
      </c>
      <c r="Q16">
        <f t="shared" si="0"/>
        <v>0.17480000000000001</v>
      </c>
      <c r="S16">
        <f t="shared" si="0"/>
        <v>0.21110000000000001</v>
      </c>
      <c r="U16">
        <f t="shared" si="0"/>
        <v>0.65269999999999995</v>
      </c>
    </row>
    <row r="17" spans="1:21" ht="17.25" thickBot="1" x14ac:dyDescent="0.35">
      <c r="B17" s="1"/>
      <c r="C17" s="1"/>
      <c r="D17" s="7">
        <v>0.8</v>
      </c>
      <c r="E17" s="8">
        <v>-6.5299999999999997E-2</v>
      </c>
      <c r="F17" s="5">
        <v>0.65</v>
      </c>
      <c r="G17" s="14">
        <v>-0.12759999999999999</v>
      </c>
      <c r="H17" s="5">
        <v>0.5</v>
      </c>
      <c r="I17" s="14">
        <v>-0.13750000000000001</v>
      </c>
      <c r="J17" s="5">
        <v>0.76</v>
      </c>
      <c r="K17" s="14">
        <v>-0.65269999999999995</v>
      </c>
      <c r="L17" s="1"/>
      <c r="O17">
        <f t="shared" si="0"/>
        <v>6.5299999999999997E-2</v>
      </c>
      <c r="Q17">
        <f t="shared" si="0"/>
        <v>0.12759999999999999</v>
      </c>
      <c r="S17">
        <f t="shared" si="0"/>
        <v>0.13750000000000001</v>
      </c>
      <c r="U17">
        <f t="shared" si="0"/>
        <v>0.65269999999999995</v>
      </c>
    </row>
    <row r="18" spans="1:21" ht="17.25" thickBot="1" x14ac:dyDescent="0.35">
      <c r="B18" s="1"/>
      <c r="C18" s="1"/>
      <c r="D18" s="16"/>
      <c r="E18" s="1"/>
      <c r="F18" s="5">
        <v>0.74</v>
      </c>
      <c r="G18" s="14">
        <v>8.0210000000000004E-2</v>
      </c>
      <c r="H18" s="5">
        <v>0.53</v>
      </c>
      <c r="I18" s="14">
        <v>-9.98E-2</v>
      </c>
      <c r="J18" s="7">
        <v>0.9</v>
      </c>
      <c r="K18" s="19">
        <v>6.0740000000000002E-2</v>
      </c>
      <c r="L18" s="1"/>
      <c r="Q18">
        <f t="shared" si="0"/>
        <v>-8.0210000000000004E-2</v>
      </c>
      <c r="S18">
        <f t="shared" si="0"/>
        <v>9.98E-2</v>
      </c>
      <c r="U18">
        <f t="shared" si="0"/>
        <v>-6.0740000000000002E-2</v>
      </c>
    </row>
    <row r="19" spans="1:21" ht="17.25" thickBot="1" x14ac:dyDescent="0.35">
      <c r="B19" s="1"/>
      <c r="C19" s="1"/>
      <c r="D19" s="1"/>
      <c r="E19" s="1"/>
      <c r="F19" s="7">
        <v>0.9</v>
      </c>
      <c r="G19" s="19">
        <v>8.0210000000000004E-2</v>
      </c>
      <c r="H19" s="5">
        <v>0.65</v>
      </c>
      <c r="I19" s="14">
        <v>5.006E-2</v>
      </c>
      <c r="J19" s="20"/>
      <c r="K19" s="16"/>
      <c r="L19" s="1"/>
      <c r="Q19">
        <f t="shared" si="0"/>
        <v>-8.0210000000000004E-2</v>
      </c>
      <c r="S19">
        <f t="shared" si="0"/>
        <v>-5.006E-2</v>
      </c>
    </row>
    <row r="20" spans="1:21" x14ac:dyDescent="0.3">
      <c r="B20" s="1"/>
      <c r="C20" s="1"/>
      <c r="D20" s="1"/>
      <c r="E20" s="1"/>
      <c r="F20" s="16"/>
      <c r="G20" s="17"/>
      <c r="H20" s="5">
        <v>0.8</v>
      </c>
      <c r="I20" s="14">
        <v>6.7939999999999997E-3</v>
      </c>
      <c r="J20" s="15"/>
      <c r="K20" s="1"/>
      <c r="L20" s="1"/>
      <c r="S20">
        <f t="shared" ref="S20:S31" si="2">I20*(-1)</f>
        <v>-6.7939999999999997E-3</v>
      </c>
    </row>
    <row r="21" spans="1:21" ht="17.25" thickBot="1" x14ac:dyDescent="0.35">
      <c r="B21" s="1"/>
      <c r="C21" s="1"/>
      <c r="D21" s="1"/>
      <c r="E21" s="1"/>
      <c r="F21" s="1"/>
      <c r="G21" s="18"/>
      <c r="H21" s="7">
        <v>0.87</v>
      </c>
      <c r="I21" s="19">
        <v>7.1940000000000004E-2</v>
      </c>
      <c r="J21" s="15"/>
      <c r="K21" s="1"/>
      <c r="L21" s="1"/>
      <c r="S21">
        <f t="shared" si="2"/>
        <v>-7.1940000000000004E-2</v>
      </c>
    </row>
    <row r="22" spans="1:21" ht="17.25" thickBot="1" x14ac:dyDescent="0.3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21" ht="17.25" thickBot="1" x14ac:dyDescent="0.35">
      <c r="A23" t="s">
        <v>12</v>
      </c>
      <c r="B23" s="9"/>
      <c r="C23" s="10"/>
      <c r="D23" s="9"/>
      <c r="E23" s="10"/>
      <c r="F23" s="9"/>
      <c r="G23" s="11"/>
      <c r="H23" s="9"/>
      <c r="I23" s="11"/>
      <c r="J23" s="9"/>
      <c r="K23" s="11"/>
      <c r="L23" s="1"/>
    </row>
    <row r="24" spans="1:21" x14ac:dyDescent="0.3">
      <c r="B24" s="3">
        <v>0.04</v>
      </c>
      <c r="C24" s="4">
        <v>5.6059999999999999E-2</v>
      </c>
      <c r="D24" s="3">
        <v>0</v>
      </c>
      <c r="E24" s="4">
        <v>0.92689999999999995</v>
      </c>
      <c r="F24" s="3">
        <v>0.01</v>
      </c>
      <c r="G24" s="13">
        <v>0.51749999999999996</v>
      </c>
      <c r="H24" s="3">
        <v>0.01</v>
      </c>
      <c r="I24" s="13">
        <v>0.70269999999999999</v>
      </c>
      <c r="J24" s="3">
        <v>0</v>
      </c>
      <c r="K24" s="13">
        <v>1.1140000000000001</v>
      </c>
      <c r="L24" s="1"/>
      <c r="M24">
        <f t="shared" si="1"/>
        <v>-5.6059999999999999E-2</v>
      </c>
      <c r="O24">
        <f t="shared" ref="O24:O30" si="3">E24*(-1)</f>
        <v>-0.92689999999999995</v>
      </c>
      <c r="Q24">
        <f t="shared" ref="Q24:Q32" si="4">G24*(-1)</f>
        <v>-0.51749999999999996</v>
      </c>
      <c r="S24">
        <f t="shared" si="2"/>
        <v>-0.70269999999999999</v>
      </c>
      <c r="U24">
        <f t="shared" ref="U24:U31" si="5">K24*(-1)</f>
        <v>-1.1140000000000001</v>
      </c>
    </row>
    <row r="25" spans="1:21" x14ac:dyDescent="0.3">
      <c r="B25" s="5">
        <v>0.2</v>
      </c>
      <c r="C25" s="6">
        <v>0.27579999999999999</v>
      </c>
      <c r="D25" s="5">
        <v>7.0000000000000007E-2</v>
      </c>
      <c r="E25" s="6">
        <v>2.0590000000000001E-2</v>
      </c>
      <c r="F25" s="5">
        <v>0.02</v>
      </c>
      <c r="G25" s="14">
        <v>0.36909999999999998</v>
      </c>
      <c r="H25" s="5">
        <v>0.04</v>
      </c>
      <c r="I25" s="14">
        <v>0.27450000000000002</v>
      </c>
      <c r="J25" s="5">
        <v>7.0000000000000007E-2</v>
      </c>
      <c r="K25" s="14">
        <v>8.7739999999999999E-2</v>
      </c>
      <c r="M25">
        <f t="shared" si="1"/>
        <v>-0.27579999999999999</v>
      </c>
      <c r="O25">
        <f t="shared" si="3"/>
        <v>-2.0590000000000001E-2</v>
      </c>
      <c r="Q25">
        <f t="shared" si="4"/>
        <v>-0.36909999999999998</v>
      </c>
      <c r="S25">
        <f t="shared" si="2"/>
        <v>-0.27450000000000002</v>
      </c>
      <c r="U25">
        <f t="shared" si="5"/>
        <v>-8.7739999999999999E-2</v>
      </c>
    </row>
    <row r="26" spans="1:21" x14ac:dyDescent="0.3">
      <c r="B26" s="5">
        <v>0.28000000000000003</v>
      </c>
      <c r="C26" s="6">
        <v>0.2195</v>
      </c>
      <c r="D26" s="5">
        <v>0.18</v>
      </c>
      <c r="E26" s="6">
        <v>-0.25319999999999998</v>
      </c>
      <c r="F26" s="5">
        <v>0.14000000000000001</v>
      </c>
      <c r="G26" s="14">
        <v>-0.16009999999999999</v>
      </c>
      <c r="H26" s="5">
        <v>0.14000000000000001</v>
      </c>
      <c r="I26" s="14">
        <v>-0.18859999999999999</v>
      </c>
      <c r="J26" s="5">
        <v>0.16</v>
      </c>
      <c r="K26" s="14">
        <v>-0.2487</v>
      </c>
      <c r="M26">
        <f t="shared" si="1"/>
        <v>-0.2195</v>
      </c>
      <c r="O26">
        <f t="shared" si="3"/>
        <v>0.25319999999999998</v>
      </c>
      <c r="Q26">
        <f t="shared" si="4"/>
        <v>0.16009999999999999</v>
      </c>
      <c r="S26">
        <f t="shared" si="2"/>
        <v>0.18859999999999999</v>
      </c>
      <c r="U26">
        <f t="shared" si="5"/>
        <v>0.2487</v>
      </c>
    </row>
    <row r="27" spans="1:21" x14ac:dyDescent="0.3">
      <c r="B27" s="5">
        <v>0.46</v>
      </c>
      <c r="C27" s="6">
        <v>9.8610000000000003E-2</v>
      </c>
      <c r="D27" s="5">
        <v>0.28000000000000003</v>
      </c>
      <c r="E27" s="6">
        <v>-0.28039999999999998</v>
      </c>
      <c r="F27" s="5">
        <v>0.21</v>
      </c>
      <c r="G27" s="14">
        <v>-0.25340000000000001</v>
      </c>
      <c r="H27" s="5">
        <v>0.28000000000000003</v>
      </c>
      <c r="I27" s="14">
        <v>-0.30349999999999999</v>
      </c>
      <c r="J27" s="5">
        <v>0.33</v>
      </c>
      <c r="K27" s="14">
        <v>-0.32379999999999998</v>
      </c>
      <c r="M27">
        <f t="shared" si="1"/>
        <v>-9.8610000000000003E-2</v>
      </c>
      <c r="O27">
        <f t="shared" si="3"/>
        <v>0.28039999999999998</v>
      </c>
      <c r="Q27">
        <f t="shared" si="4"/>
        <v>0.25340000000000001</v>
      </c>
      <c r="S27">
        <f t="shared" si="2"/>
        <v>0.30349999999999999</v>
      </c>
      <c r="U27">
        <f t="shared" si="5"/>
        <v>0.32379999999999998</v>
      </c>
    </row>
    <row r="28" spans="1:21" ht="17.25" thickBot="1" x14ac:dyDescent="0.35">
      <c r="B28" s="7">
        <v>0.85</v>
      </c>
      <c r="C28" s="8">
        <v>3.6740000000000002E-2</v>
      </c>
      <c r="D28" s="5">
        <v>0.38</v>
      </c>
      <c r="E28" s="6">
        <v>-0.23350000000000001</v>
      </c>
      <c r="F28" s="5">
        <v>0.34</v>
      </c>
      <c r="G28" s="14">
        <v>-0.33019999999999999</v>
      </c>
      <c r="H28" s="5">
        <v>0.33</v>
      </c>
      <c r="I28" s="14">
        <v>-0.25140000000000001</v>
      </c>
      <c r="J28" s="5">
        <v>0.39</v>
      </c>
      <c r="K28" s="14">
        <v>-0.25580000000000003</v>
      </c>
      <c r="M28">
        <f t="shared" si="1"/>
        <v>-3.6740000000000002E-2</v>
      </c>
      <c r="O28">
        <f t="shared" si="3"/>
        <v>0.23350000000000001</v>
      </c>
      <c r="Q28">
        <f t="shared" si="4"/>
        <v>0.33019999999999999</v>
      </c>
      <c r="S28">
        <f t="shared" si="2"/>
        <v>0.25140000000000001</v>
      </c>
      <c r="U28">
        <f t="shared" si="5"/>
        <v>0.25580000000000003</v>
      </c>
    </row>
    <row r="29" spans="1:21" x14ac:dyDescent="0.3">
      <c r="B29" s="16"/>
      <c r="C29" s="17"/>
      <c r="D29" s="5">
        <v>0.51</v>
      </c>
      <c r="E29" s="6">
        <v>-0.1467</v>
      </c>
      <c r="F29" s="5">
        <v>0.37</v>
      </c>
      <c r="G29" s="14">
        <v>-0.28620000000000001</v>
      </c>
      <c r="H29" s="5">
        <v>0.51</v>
      </c>
      <c r="I29" s="14">
        <v>-0.17580000000000001</v>
      </c>
      <c r="J29" s="5">
        <v>0.43</v>
      </c>
      <c r="K29" s="14">
        <v>-0.17580000000000001</v>
      </c>
      <c r="O29">
        <f t="shared" si="3"/>
        <v>0.1467</v>
      </c>
      <c r="Q29">
        <f t="shared" si="4"/>
        <v>0.28620000000000001</v>
      </c>
      <c r="S29">
        <f t="shared" si="2"/>
        <v>0.17580000000000001</v>
      </c>
      <c r="U29">
        <f t="shared" si="5"/>
        <v>0.17580000000000001</v>
      </c>
    </row>
    <row r="30" spans="1:21" ht="17.25" thickBot="1" x14ac:dyDescent="0.35">
      <c r="B30" s="1"/>
      <c r="C30" s="18"/>
      <c r="D30" s="7">
        <v>0.79</v>
      </c>
      <c r="E30" s="8">
        <v>-2.036E-2</v>
      </c>
      <c r="F30" s="5">
        <v>0.47</v>
      </c>
      <c r="G30" s="14">
        <v>-0.15340000000000001</v>
      </c>
      <c r="H30" s="5">
        <v>0.69</v>
      </c>
      <c r="I30" s="14">
        <v>0.21929999999999999</v>
      </c>
      <c r="J30" s="5">
        <v>0.74</v>
      </c>
      <c r="K30" s="14">
        <v>-6.4399999999999999E-2</v>
      </c>
      <c r="O30">
        <f t="shared" si="3"/>
        <v>2.036E-2</v>
      </c>
      <c r="Q30">
        <f t="shared" si="4"/>
        <v>0.15340000000000001</v>
      </c>
      <c r="S30">
        <f t="shared" si="2"/>
        <v>-0.21929999999999999</v>
      </c>
      <c r="U30">
        <f t="shared" si="5"/>
        <v>6.4399999999999999E-2</v>
      </c>
    </row>
    <row r="31" spans="1:21" ht="17.25" thickBot="1" x14ac:dyDescent="0.35">
      <c r="B31" s="1"/>
      <c r="C31" s="1"/>
      <c r="D31" s="16"/>
      <c r="E31" s="1"/>
      <c r="F31" s="5">
        <v>0.74</v>
      </c>
      <c r="G31" s="14">
        <v>-6.5570000000000003E-2</v>
      </c>
      <c r="H31" s="7">
        <v>0.9</v>
      </c>
      <c r="I31" s="19">
        <v>7.3120000000000004E-2</v>
      </c>
      <c r="J31" s="7">
        <v>0.85</v>
      </c>
      <c r="K31" s="19">
        <v>-1.1270000000000001E-2</v>
      </c>
      <c r="Q31">
        <f t="shared" si="4"/>
        <v>6.5570000000000003E-2</v>
      </c>
      <c r="S31">
        <f t="shared" si="2"/>
        <v>-7.3120000000000004E-2</v>
      </c>
      <c r="U31">
        <f t="shared" si="5"/>
        <v>1.1270000000000001E-2</v>
      </c>
    </row>
    <row r="32" spans="1:21" ht="17.25" thickBot="1" x14ac:dyDescent="0.35">
      <c r="B32" s="1"/>
      <c r="C32" s="1"/>
      <c r="D32" s="1"/>
      <c r="E32" s="18"/>
      <c r="F32" s="7">
        <v>0.99</v>
      </c>
      <c r="G32" s="19">
        <v>6.4449999999999993E-2</v>
      </c>
      <c r="H32" s="20"/>
      <c r="I32" s="1"/>
      <c r="J32" s="16"/>
      <c r="K32" s="16"/>
      <c r="Q32">
        <f t="shared" si="4"/>
        <v>-6.4449999999999993E-2</v>
      </c>
    </row>
    <row r="33" spans="2:11" x14ac:dyDescent="0.3">
      <c r="B33" s="1"/>
      <c r="C33" s="1"/>
      <c r="D33" s="1"/>
      <c r="E33" s="1"/>
      <c r="F33" s="1"/>
      <c r="G33" s="16"/>
      <c r="H33" s="1"/>
      <c r="I33" s="1"/>
      <c r="J33" s="1"/>
      <c r="K33" s="1"/>
    </row>
    <row r="37" spans="2:11" x14ac:dyDescent="0.3">
      <c r="B37" s="1"/>
      <c r="C37" s="1"/>
      <c r="D37" s="1"/>
      <c r="E37" s="1"/>
      <c r="F37" s="1"/>
      <c r="G37" s="1"/>
      <c r="H37" s="1"/>
      <c r="I37" s="1"/>
      <c r="J37" s="1"/>
      <c r="K3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Total</vt:lpstr>
      <vt:lpstr>0.5</vt:lpstr>
      <vt:lpstr>0.68</vt:lpstr>
      <vt:lpstr>0.8</vt:lpstr>
      <vt:lpstr>0.89</vt:lpstr>
      <vt:lpstr>0.96</vt:lpstr>
      <vt:lpstr>Equation_Sheet</vt:lpstr>
      <vt:lpstr>NASA_Exp.data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SBG</dc:creator>
  <cp:lastModifiedBy>윤현덕</cp:lastModifiedBy>
  <dcterms:created xsi:type="dcterms:W3CDTF">2015-06-05T18:19:34Z</dcterms:created>
  <dcterms:modified xsi:type="dcterms:W3CDTF">2025-11-26T07:39:48Z</dcterms:modified>
</cp:coreProperties>
</file>